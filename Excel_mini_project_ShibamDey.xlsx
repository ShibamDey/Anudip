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4.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mc:AlternateContent xmlns:mc="http://schemas.openxmlformats.org/markup-compatibility/2006">
    <mc:Choice Requires="x15">
      <x15ac:absPath xmlns:x15ac="http://schemas.microsoft.com/office/spreadsheetml/2010/11/ac" url="C:\Users\SHIBAM DEY\Documents\"/>
    </mc:Choice>
  </mc:AlternateContent>
  <xr:revisionPtr revIDLastSave="0" documentId="8_{85223171-3235-432B-812C-9BDAB0400929}" xr6:coauthVersionLast="47" xr6:coauthVersionMax="47" xr10:uidLastSave="{00000000-0000-0000-0000-000000000000}"/>
  <bookViews>
    <workbookView xWindow="-108" yWindow="-108" windowWidth="23256" windowHeight="12456" activeTab="4" xr2:uid="{41B43F34-5090-4523-A517-9A06B1B3D81D}"/>
  </bookViews>
  <sheets>
    <sheet name="Dataset" sheetId="1" r:id="rId1"/>
    <sheet name="Detail1" sheetId="8" r:id="rId2"/>
    <sheet name="Detail2" sheetId="9" r:id="rId3"/>
    <sheet name="Pivort" sheetId="7" r:id="rId4"/>
    <sheet name="Dashboard" sheetId="13" r:id="rId5"/>
  </sheets>
  <definedNames>
    <definedName name="Slicer_Month">#N/A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5" i="7" l="1"/>
  <c r="V6" i="7"/>
  <c r="V7" i="7"/>
  <c r="V4" i="7"/>
  <c r="B7" i="7"/>
  <c r="B6" i="7"/>
  <c r="B5" i="7"/>
  <c r="B4" i="7"/>
  <c r="B3" i="7"/>
  <c r="B8" i="7" s="1"/>
  <c r="AC5" i="7"/>
  <c r="AC6" i="7"/>
  <c r="AC7" i="7"/>
  <c r="AC9" i="7"/>
  <c r="AC8" i="7"/>
  <c r="AC4" i="7"/>
  <c r="W6" i="7"/>
  <c r="W7" i="7"/>
  <c r="W5" i="7"/>
  <c r="W4" i="7"/>
  <c r="Z5" i="7"/>
  <c r="Z6" i="7"/>
  <c r="Z4" i="7"/>
  <c r="T4" i="7"/>
  <c r="T6" i="7"/>
  <c r="T5" i="7"/>
  <c r="Q5" i="7"/>
  <c r="Q8" i="7"/>
  <c r="Q6" i="7"/>
  <c r="Q10" i="7"/>
  <c r="Q9" i="7"/>
  <c r="Q7" i="7"/>
  <c r="Q4" i="7"/>
  <c r="N5" i="7"/>
  <c r="N6" i="7"/>
  <c r="N7" i="7"/>
  <c r="N10" i="7"/>
  <c r="N8" i="7"/>
  <c r="N9" i="7"/>
  <c r="N4" i="7"/>
  <c r="L5" i="7"/>
  <c r="L6" i="7"/>
  <c r="L4" i="7"/>
  <c r="K5" i="7"/>
  <c r="K6" i="7"/>
  <c r="K4" i="7"/>
  <c r="H4" i="7"/>
  <c r="H6" i="7"/>
  <c r="H7" i="7"/>
  <c r="H8" i="7"/>
  <c r="H5" i="7"/>
  <c r="H3" i="7"/>
  <c r="G4" i="7"/>
  <c r="G5" i="7"/>
  <c r="G6" i="7"/>
  <c r="G7" i="7"/>
  <c r="G8" i="7"/>
  <c r="AC10" i="7" l="1"/>
  <c r="L7" i="7"/>
  <c r="N11" i="7"/>
  <c r="Q11" i="7"/>
  <c r="T7" i="7"/>
  <c r="U4" i="7" s="1"/>
  <c r="Z7" i="7"/>
  <c r="AA7" i="7" s="1"/>
  <c r="W8" i="7"/>
  <c r="X8" i="7" s="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G3" i="7"/>
  <c r="U6" i="7" l="1"/>
  <c r="AA5" i="7"/>
  <c r="AA6" i="7"/>
  <c r="AA4" i="7"/>
  <c r="G9" i="7"/>
  <c r="X6" i="7"/>
  <c r="X7" i="7"/>
  <c r="X5" i="7"/>
  <c r="X4" i="7"/>
  <c r="U5" i="7"/>
  <c r="U7" i="7"/>
</calcChain>
</file>

<file path=xl/sharedStrings.xml><?xml version="1.0" encoding="utf-8"?>
<sst xmlns="http://schemas.openxmlformats.org/spreadsheetml/2006/main" count="3550" uniqueCount="67">
  <si>
    <t>Traffic Source Type</t>
  </si>
  <si>
    <t>Traffic Source %</t>
  </si>
  <si>
    <t>Visitor Type</t>
  </si>
  <si>
    <t>Visitor Count</t>
  </si>
  <si>
    <t>Visitor Date</t>
  </si>
  <si>
    <t>Visits (in thousands)</t>
  </si>
  <si>
    <t>Bounce Rate %</t>
  </si>
  <si>
    <t>Avg. Session Duration (sec)</t>
  </si>
  <si>
    <t>Pages Per Visit</t>
  </si>
  <si>
    <t>Bounce Rate</t>
  </si>
  <si>
    <t>Total Page Views</t>
  </si>
  <si>
    <t>Goal Conversion Rate %</t>
  </si>
  <si>
    <t>Channel</t>
  </si>
  <si>
    <t>Conversion % (Channel)</t>
  </si>
  <si>
    <t>Campaign Name</t>
  </si>
  <si>
    <t>Conversion % (Campaign)</t>
  </si>
  <si>
    <t>Page Name</t>
  </si>
  <si>
    <t>Conversion % (Page)</t>
  </si>
  <si>
    <t>Social</t>
  </si>
  <si>
    <t>Returning</t>
  </si>
  <si>
    <t>Paid Search</t>
  </si>
  <si>
    <t>Campaign 2</t>
  </si>
  <si>
    <t>Page 3</t>
  </si>
  <si>
    <t>New</t>
  </si>
  <si>
    <t>Direct</t>
  </si>
  <si>
    <t>Page 1</t>
  </si>
  <si>
    <t>Paid</t>
  </si>
  <si>
    <t>Organic</t>
  </si>
  <si>
    <t>Defect</t>
  </si>
  <si>
    <t>Campaign 1</t>
  </si>
  <si>
    <t>Referral</t>
  </si>
  <si>
    <t>Campaign 3</t>
  </si>
  <si>
    <t>Email</t>
  </si>
  <si>
    <t>Campaign 4</t>
  </si>
  <si>
    <t>Page 2</t>
  </si>
  <si>
    <t>Guest</t>
  </si>
  <si>
    <t>Year</t>
  </si>
  <si>
    <t>Month</t>
  </si>
  <si>
    <t>Row Labels</t>
  </si>
  <si>
    <t>Grand Total</t>
  </si>
  <si>
    <t>Sum of Visitor Count</t>
  </si>
  <si>
    <t>Sum of Visitor Count2</t>
  </si>
  <si>
    <t>Average of Avg. Session Duration (sec)</t>
  </si>
  <si>
    <t>Average of Pages Per Visit</t>
  </si>
  <si>
    <t>Sum of Total Page Views</t>
  </si>
  <si>
    <t>Sum of Goal Conversion Rate %</t>
  </si>
  <si>
    <t xml:space="preserve"> </t>
  </si>
  <si>
    <t>Jan</t>
  </si>
  <si>
    <t>Feb</t>
  </si>
  <si>
    <t>Mar</t>
  </si>
  <si>
    <t>Apr</t>
  </si>
  <si>
    <t>May</t>
  </si>
  <si>
    <t>Jun</t>
  </si>
  <si>
    <t>Jul</t>
  </si>
  <si>
    <t>Sum of Bounce Rate %</t>
  </si>
  <si>
    <t>Average of Conversion % (Channel)</t>
  </si>
  <si>
    <t>Average of Conversion % (Campaign)</t>
  </si>
  <si>
    <t>Average of Conversion % (Page)</t>
  </si>
  <si>
    <t>Details for Sum of Visitor Count2</t>
  </si>
  <si>
    <t>Avg Conversion</t>
  </si>
  <si>
    <t>KPI</t>
  </si>
  <si>
    <t>VALUE</t>
  </si>
  <si>
    <t>Avg Session duration</t>
  </si>
  <si>
    <t>Per Pages visit</t>
  </si>
  <si>
    <t>Page views</t>
  </si>
  <si>
    <t>Goal conversion</t>
  </si>
  <si>
    <t>Total Visits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</si>
</sst>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4" tint="0.79998168889431442"/>
        <bgColor theme="4" tint="0.79998168889431442"/>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9" fontId="1" fillId="0" borderId="0" applyFont="0" applyFill="0" applyBorder="0" applyAlignment="0" applyProtection="0"/>
  </cellStyleXfs>
  <cellXfs count="41">
    <xf numFmtId="0" fontId="0" fillId="0" borderId="0" xfId="0"/>
    <xf numFmtId="0" fontId="0" fillId="0" borderId="2" xfId="0" applyBorder="1"/>
    <xf numFmtId="0" fontId="0" fillId="0" borderId="3" xfId="0" applyBorder="1"/>
    <xf numFmtId="0" fontId="0" fillId="0" borderId="4" xfId="0" applyBorder="1"/>
    <xf numFmtId="0" fontId="0" fillId="0" borderId="5" xfId="0" applyBorder="1"/>
    <xf numFmtId="0" fontId="0" fillId="0" borderId="1" xfId="0" applyBorder="1"/>
    <xf numFmtId="14" fontId="0" fillId="0" borderId="1" xfId="0" applyNumberFormat="1" applyBorder="1"/>
    <xf numFmtId="0" fontId="0" fillId="0" borderId="6" xfId="0" applyBorder="1"/>
    <xf numFmtId="0" fontId="0" fillId="0" borderId="7" xfId="0" applyBorder="1"/>
    <xf numFmtId="0" fontId="0" fillId="0" borderId="8" xfId="0" applyBorder="1"/>
    <xf numFmtId="14" fontId="0" fillId="0" borderId="8" xfId="0" applyNumberFormat="1" applyBorder="1"/>
    <xf numFmtId="0" fontId="0" fillId="0" borderId="9" xfId="0" applyBorder="1"/>
    <xf numFmtId="0" fontId="0" fillId="0" borderId="0" xfId="0" pivotButton="1" applyAlignment="1">
      <alignment vertical="center"/>
    </xf>
    <xf numFmtId="0" fontId="0" fillId="0" borderId="0" xfId="0" applyAlignment="1">
      <alignment vertical="center"/>
    </xf>
    <xf numFmtId="0" fontId="0" fillId="0" borderId="0" xfId="0" pivotButton="1" applyAlignment="1">
      <alignment horizontal="center" vertical="center"/>
    </xf>
    <xf numFmtId="0" fontId="0" fillId="0" borderId="0" xfId="0" applyAlignment="1">
      <alignment horizontal="center" vertical="center"/>
    </xf>
    <xf numFmtId="9" fontId="0" fillId="0" borderId="0" xfId="0" applyNumberFormat="1" applyAlignment="1">
      <alignment horizontal="center" vertical="center"/>
    </xf>
    <xf numFmtId="164" fontId="0" fillId="0" borderId="0" xfId="0" applyNumberFormat="1" applyAlignment="1">
      <alignment horizontal="center" vertical="center"/>
    </xf>
    <xf numFmtId="1" fontId="0" fillId="0" borderId="0" xfId="0" applyNumberFormat="1" applyAlignment="1">
      <alignment horizontal="center" vertical="center"/>
    </xf>
    <xf numFmtId="1" fontId="0" fillId="0" borderId="0" xfId="0" applyNumberFormat="1" applyAlignment="1">
      <alignment vertical="center"/>
    </xf>
    <xf numFmtId="14" fontId="0" fillId="0" borderId="0" xfId="0" applyNumberFormat="1"/>
    <xf numFmtId="0" fontId="2" fillId="0" borderId="0" xfId="0" applyFont="1"/>
    <xf numFmtId="0" fontId="2" fillId="2" borderId="10" xfId="0" applyFont="1" applyFill="1" applyBorder="1" applyAlignment="1">
      <alignment horizontal="center" vertical="center"/>
    </xf>
    <xf numFmtId="0" fontId="2" fillId="2" borderId="11" xfId="0" applyFont="1" applyFill="1" applyBorder="1" applyAlignment="1">
      <alignment horizontal="center" vertical="center"/>
    </xf>
    <xf numFmtId="9" fontId="2" fillId="2" borderId="11" xfId="0" applyNumberFormat="1" applyFont="1" applyFill="1" applyBorder="1" applyAlignment="1">
      <alignment horizontal="center" vertical="center"/>
    </xf>
    <xf numFmtId="1" fontId="2" fillId="2" borderId="11" xfId="0" applyNumberFormat="1" applyFont="1" applyFill="1" applyBorder="1" applyAlignment="1">
      <alignment horizontal="center" vertical="center"/>
    </xf>
    <xf numFmtId="9" fontId="0" fillId="0" borderId="0" xfId="1" applyFont="1"/>
    <xf numFmtId="9" fontId="2" fillId="2" borderId="11" xfId="1" applyFont="1" applyFill="1" applyBorder="1" applyAlignment="1">
      <alignment horizontal="center" vertical="center"/>
    </xf>
    <xf numFmtId="9" fontId="0" fillId="0" borderId="0" xfId="1" applyFont="1" applyAlignment="1">
      <alignment horizontal="center" vertical="center"/>
    </xf>
    <xf numFmtId="164" fontId="2" fillId="2" borderId="11" xfId="0" applyNumberFormat="1" applyFont="1" applyFill="1" applyBorder="1" applyAlignment="1">
      <alignment horizontal="center" vertical="center"/>
    </xf>
    <xf numFmtId="0" fontId="2" fillId="2" borderId="10" xfId="0" applyFont="1" applyFill="1" applyBorder="1" applyAlignment="1">
      <alignment vertical="center"/>
    </xf>
    <xf numFmtId="0" fontId="2" fillId="2" borderId="11" xfId="0" applyFont="1" applyFill="1" applyBorder="1" applyAlignment="1">
      <alignment vertical="center"/>
    </xf>
    <xf numFmtId="1" fontId="2" fillId="2" borderId="11" xfId="0" applyNumberFormat="1" applyFont="1" applyFill="1" applyBorder="1" applyAlignment="1">
      <alignment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2" fontId="0" fillId="0" borderId="6" xfId="0" applyNumberFormat="1" applyBorder="1" applyAlignment="1">
      <alignment horizontal="center" vertical="center"/>
    </xf>
    <xf numFmtId="9" fontId="0" fillId="0" borderId="6" xfId="1" applyFont="1" applyBorder="1" applyAlignment="1">
      <alignment horizontal="center" vertical="center"/>
    </xf>
    <xf numFmtId="9" fontId="0" fillId="0" borderId="9" xfId="1" applyFont="1" applyBorder="1" applyAlignment="1">
      <alignment horizontal="center" vertical="center"/>
    </xf>
    <xf numFmtId="0" fontId="2" fillId="0" borderId="2" xfId="0" applyFont="1" applyBorder="1" applyAlignment="1">
      <alignment horizontal="center" vertical="center"/>
    </xf>
    <xf numFmtId="0" fontId="2" fillId="0" borderId="4" xfId="0" applyFont="1" applyBorder="1" applyAlignment="1">
      <alignment horizontal="center" vertical="center"/>
    </xf>
  </cellXfs>
  <cellStyles count="2">
    <cellStyle name="Normal" xfId="0" builtinId="0"/>
    <cellStyle name="Percent" xfId="1" builtinId="5"/>
  </cellStyles>
  <dxfs count="194">
    <dxf>
      <numFmt numFmtId="0" formatCode="General"/>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bottom style="thin">
          <color indexed="64"/>
        </bottom>
      </border>
    </dxf>
    <dxf>
      <font>
        <b/>
      </font>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wrapText="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wrapText="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wrapText="0"/>
    </dxf>
    <dxf>
      <alignment wrapText="0"/>
    </dxf>
    <dxf>
      <alignment horizontal="general"/>
    </dxf>
    <dxf>
      <alignment horizontal="general"/>
    </dxf>
    <dxf>
      <alignment horizontal="general"/>
    </dxf>
    <dxf>
      <alignment horizontal="general"/>
    </dxf>
    <dxf>
      <alignment horizontal="general"/>
    </dxf>
    <dxf>
      <alignment horizontal="general"/>
    </dxf>
    <dxf>
      <alignment vertic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vertical="center"/>
    </dxf>
    <dxf>
      <alignment vertical="center"/>
    </dxf>
    <dxf>
      <alignment vertical="center"/>
    </dxf>
    <dxf>
      <alignment wrapText="0"/>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wrapText="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wrapText="0"/>
    </dxf>
    <dxf>
      <alignment wrapText="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wrapText="0"/>
    </dxf>
    <dxf>
      <alignment wrapText="0"/>
    </dxf>
    <dxf>
      <numFmt numFmtId="13" formatCode="0%"/>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wrapText="0"/>
    </dxf>
    <dxf>
      <numFmt numFmtId="19" formatCode="dd/mm/yyyy"/>
    </dxf>
    <dxf>
      <numFmt numFmtId="19" formatCode="dd/mm/yyyy"/>
    </dxf>
    <dxf>
      <numFmt numFmtId="0" formatCode="General"/>
      <border diagonalUp="0" diagonalDown="0">
        <left style="thin">
          <color indexed="64"/>
        </left>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mruColors>
      <color rgb="FF9900FF"/>
      <color rgb="FF9E2A90"/>
      <color rgb="FFCC0066"/>
      <color rgb="FFAC2E9D"/>
      <color rgb="FF99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accent1"/>
              </a:solidFill>
              <a:ln w="19050">
                <a:noFill/>
              </a:ln>
              <a:effectLst/>
            </c:spPr>
            <c:extLst>
              <c:ext xmlns:c16="http://schemas.microsoft.com/office/drawing/2014/chart" uri="{C3380CC4-5D6E-409C-BE32-E72D297353CC}">
                <c16:uniqueId val="{00000001-70B5-4C58-8B22-E3A3F1C211FA}"/>
              </c:ext>
            </c:extLst>
          </c:dPt>
          <c:dPt>
            <c:idx val="1"/>
            <c:bubble3D val="0"/>
            <c:spPr>
              <a:solidFill>
                <a:schemeClr val="accent2"/>
              </a:solidFill>
              <a:ln w="19050">
                <a:noFill/>
              </a:ln>
              <a:effectLst/>
            </c:spPr>
            <c:extLst>
              <c:ext xmlns:c16="http://schemas.microsoft.com/office/drawing/2014/chart" uri="{C3380CC4-5D6E-409C-BE32-E72D297353CC}">
                <c16:uniqueId val="{00000003-70B5-4C58-8B22-E3A3F1C211FA}"/>
              </c:ext>
            </c:extLst>
          </c:dPt>
          <c:dPt>
            <c:idx val="2"/>
            <c:bubble3D val="0"/>
            <c:spPr>
              <a:solidFill>
                <a:schemeClr val="accent3"/>
              </a:solidFill>
              <a:ln w="19050">
                <a:noFill/>
              </a:ln>
              <a:effectLst/>
            </c:spPr>
            <c:extLst>
              <c:ext xmlns:c16="http://schemas.microsoft.com/office/drawing/2014/chart" uri="{C3380CC4-5D6E-409C-BE32-E72D297353CC}">
                <c16:uniqueId val="{00000005-70B5-4C58-8B22-E3A3F1C211FA}"/>
              </c:ext>
            </c:extLst>
          </c:dPt>
          <c:dPt>
            <c:idx val="3"/>
            <c:bubble3D val="0"/>
            <c:spPr>
              <a:solidFill>
                <a:schemeClr val="accent4"/>
              </a:solidFill>
              <a:ln w="19050">
                <a:noFill/>
              </a:ln>
              <a:effectLst/>
            </c:spPr>
            <c:extLst>
              <c:ext xmlns:c16="http://schemas.microsoft.com/office/drawing/2014/chart" uri="{C3380CC4-5D6E-409C-BE32-E72D297353CC}">
                <c16:uniqueId val="{00000007-70B5-4C58-8B22-E3A3F1C211FA}"/>
              </c:ext>
            </c:extLst>
          </c:dPt>
          <c:dPt>
            <c:idx val="4"/>
            <c:bubble3D val="0"/>
            <c:spPr>
              <a:solidFill>
                <a:schemeClr val="accent5"/>
              </a:solidFill>
              <a:ln w="19050">
                <a:noFill/>
              </a:ln>
              <a:effectLst/>
            </c:spPr>
            <c:extLst>
              <c:ext xmlns:c16="http://schemas.microsoft.com/office/drawing/2014/chart" uri="{C3380CC4-5D6E-409C-BE32-E72D297353CC}">
                <c16:uniqueId val="{00000009-70B5-4C58-8B22-E3A3F1C211FA}"/>
              </c:ext>
            </c:extLst>
          </c:dPt>
          <c:dPt>
            <c:idx val="5"/>
            <c:bubble3D val="0"/>
            <c:spPr>
              <a:solidFill>
                <a:schemeClr val="accent6"/>
              </a:solidFill>
              <a:ln w="19050">
                <a:noFill/>
              </a:ln>
              <a:effectLst/>
            </c:spPr>
            <c:extLst>
              <c:ext xmlns:c16="http://schemas.microsoft.com/office/drawing/2014/chart" uri="{C3380CC4-5D6E-409C-BE32-E72D297353CC}">
                <c16:uniqueId val="{0000000B-70B5-4C58-8B22-E3A3F1C211F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Pivort!$F$3:$F$8</c:f>
              <c:strCache>
                <c:ptCount val="6"/>
                <c:pt idx="0">
                  <c:v>Defect</c:v>
                </c:pt>
                <c:pt idx="1">
                  <c:v>Direct</c:v>
                </c:pt>
                <c:pt idx="2">
                  <c:v>Email</c:v>
                </c:pt>
                <c:pt idx="3">
                  <c:v>Paid</c:v>
                </c:pt>
                <c:pt idx="4">
                  <c:v>Referral</c:v>
                </c:pt>
                <c:pt idx="5">
                  <c:v>Social</c:v>
                </c:pt>
              </c:strCache>
            </c:strRef>
          </c:cat>
          <c:val>
            <c:numRef>
              <c:f>Pivort!$H$3:$H$8</c:f>
              <c:numCache>
                <c:formatCode>0%</c:formatCode>
                <c:ptCount val="6"/>
                <c:pt idx="0">
                  <c:v>0.21764484574868323</c:v>
                </c:pt>
                <c:pt idx="1">
                  <c:v>0.21049661399548533</c:v>
                </c:pt>
                <c:pt idx="2">
                  <c:v>0.11606471030850263</c:v>
                </c:pt>
                <c:pt idx="3">
                  <c:v>0.16431527464258841</c:v>
                </c:pt>
                <c:pt idx="4">
                  <c:v>0.11230248306997742</c:v>
                </c:pt>
                <c:pt idx="5">
                  <c:v>0.17917607223476298</c:v>
                </c:pt>
              </c:numCache>
            </c:numRef>
          </c:val>
          <c:extLst>
            <c:ext xmlns:c16="http://schemas.microsoft.com/office/drawing/2014/chart" uri="{C3380CC4-5D6E-409C-BE32-E72D297353CC}">
              <c16:uniqueId val="{0000000C-70B5-4C58-8B22-E3A3F1C211FA}"/>
            </c:ext>
          </c:extLst>
        </c:ser>
        <c:dLbls>
          <c:showLegendKey val="0"/>
          <c:showVal val="1"/>
          <c:showCatName val="0"/>
          <c:showSerName val="0"/>
          <c:showPercent val="0"/>
          <c:showBubbleSize val="0"/>
          <c:showLeaderLines val="1"/>
        </c:dLbls>
        <c:firstSliceAng val="0"/>
        <c:holeSize val="45"/>
      </c:doughnutChart>
      <c:spPr>
        <a:noFill/>
        <a:ln>
          <a:noFill/>
        </a:ln>
        <a:effectLst/>
      </c:spPr>
    </c:plotArea>
    <c:legend>
      <c:legendPos val="r"/>
      <c:layout>
        <c:manualLayout>
          <c:xMode val="edge"/>
          <c:yMode val="edge"/>
          <c:x val="0.73904273201804827"/>
          <c:y val="0.19444190443936446"/>
          <c:w val="0.22537654703274451"/>
          <c:h val="0.725811531623063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174358543260385"/>
          <c:y val="0.1887905604719764"/>
          <c:w val="0.59549228944246735"/>
          <c:h val="0.74041297935103245"/>
        </c:manualLayout>
      </c:layout>
      <c:radarChart>
        <c:radarStyle val="filled"/>
        <c:varyColors val="0"/>
        <c:ser>
          <c:idx val="0"/>
          <c:order val="0"/>
          <c:spPr>
            <a:solidFill>
              <a:schemeClr val="accent1"/>
            </a:solidFill>
            <a:ln>
              <a:noFill/>
            </a:ln>
            <a:effectLst/>
          </c:spPr>
          <c:dLbls>
            <c:dLbl>
              <c:idx val="0"/>
              <c:layout>
                <c:manualLayout>
                  <c:x val="-9.9644128113879002E-2"/>
                  <c:y val="-6.4896755162241887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1C63-48DA-B3A8-0CBC7ACE15CE}"/>
                </c:ext>
              </c:extLst>
            </c:dLbl>
            <c:dLbl>
              <c:idx val="1"/>
              <c:layout>
                <c:manualLayout>
                  <c:x val="0.13760379596678529"/>
                  <c:y val="-0.176991150442477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C63-48DA-B3A8-0CBC7ACE15CE}"/>
                </c:ext>
              </c:extLst>
            </c:dLbl>
            <c:dLbl>
              <c:idx val="2"/>
              <c:layout>
                <c:manualLayout>
                  <c:x val="0.23250296559905101"/>
                  <c:y val="0.1238938053097345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C63-48DA-B3A8-0CBC7ACE15CE}"/>
                </c:ext>
              </c:extLst>
            </c:dLbl>
            <c:dLbl>
              <c:idx val="3"/>
              <c:layout>
                <c:manualLayout>
                  <c:x val="0.12336892052194544"/>
                  <c:y val="4.7197640117994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C63-48DA-B3A8-0CBC7ACE15CE}"/>
                </c:ext>
              </c:extLst>
            </c:dLbl>
            <c:dLbl>
              <c:idx val="4"/>
              <c:layout>
                <c:manualLayout>
                  <c:x val="-0.15548952538898297"/>
                  <c:y val="0.12389411964170038"/>
                </c:manualLayout>
              </c:layout>
              <c:showLegendKey val="0"/>
              <c:showVal val="1"/>
              <c:showCatName val="1"/>
              <c:showSerName val="0"/>
              <c:showPercent val="0"/>
              <c:showBubbleSize val="0"/>
              <c:extLst>
                <c:ext xmlns:c15="http://schemas.microsoft.com/office/drawing/2012/chart" uri="{CE6537A1-D6FC-4f65-9D91-7224C49458BB}">
                  <c15:layout>
                    <c:manualLayout>
                      <c:w val="0.27702265372168283"/>
                      <c:h val="0.28706618259543903"/>
                    </c:manualLayout>
                  </c15:layout>
                </c:ext>
                <c:ext xmlns:c16="http://schemas.microsoft.com/office/drawing/2014/chart" uri="{C3380CC4-5D6E-409C-BE32-E72D297353CC}">
                  <c16:uniqueId val="{00000005-1C63-48DA-B3A8-0CBC7ACE15CE}"/>
                </c:ext>
              </c:extLst>
            </c:dLbl>
            <c:dLbl>
              <c:idx val="5"/>
              <c:layout>
                <c:manualLayout>
                  <c:x val="-0.10913404507710557"/>
                  <c:y val="-0.1238938053097345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C63-48DA-B3A8-0CBC7ACE15C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Pivort!$F$3:$F$8</c:f>
              <c:strCache>
                <c:ptCount val="6"/>
                <c:pt idx="0">
                  <c:v>Defect</c:v>
                </c:pt>
                <c:pt idx="1">
                  <c:v>Direct</c:v>
                </c:pt>
                <c:pt idx="2">
                  <c:v>Email</c:v>
                </c:pt>
                <c:pt idx="3">
                  <c:v>Paid</c:v>
                </c:pt>
                <c:pt idx="4">
                  <c:v>Referral</c:v>
                </c:pt>
                <c:pt idx="5">
                  <c:v>Social</c:v>
                </c:pt>
              </c:strCache>
            </c:strRef>
          </c:cat>
          <c:val>
            <c:numRef>
              <c:f>Pivort!$G$3:$G$8</c:f>
              <c:numCache>
                <c:formatCode>General</c:formatCode>
                <c:ptCount val="6"/>
                <c:pt idx="0">
                  <c:v>2314</c:v>
                </c:pt>
                <c:pt idx="1">
                  <c:v>2238</c:v>
                </c:pt>
                <c:pt idx="2">
                  <c:v>1234</c:v>
                </c:pt>
                <c:pt idx="3">
                  <c:v>1747</c:v>
                </c:pt>
                <c:pt idx="4">
                  <c:v>1194</c:v>
                </c:pt>
                <c:pt idx="5">
                  <c:v>1905</c:v>
                </c:pt>
              </c:numCache>
            </c:numRef>
          </c:val>
          <c:extLst>
            <c:ext xmlns:c16="http://schemas.microsoft.com/office/drawing/2014/chart" uri="{C3380CC4-5D6E-409C-BE32-E72D297353CC}">
              <c16:uniqueId val="{00000000-1C63-48DA-B3A8-0CBC7ACE15CE}"/>
            </c:ext>
          </c:extLst>
        </c:ser>
        <c:dLbls>
          <c:showLegendKey val="0"/>
          <c:showVal val="1"/>
          <c:showCatName val="0"/>
          <c:showSerName val="0"/>
          <c:showPercent val="0"/>
          <c:showBubbleSize val="0"/>
        </c:dLbls>
        <c:axId val="940723056"/>
        <c:axId val="940723416"/>
      </c:radarChart>
      <c:catAx>
        <c:axId val="940723056"/>
        <c:scaling>
          <c:orientation val="minMax"/>
        </c:scaling>
        <c:delete val="1"/>
        <c:axPos val="b"/>
        <c:numFmt formatCode="General" sourceLinked="0"/>
        <c:majorTickMark val="none"/>
        <c:minorTickMark val="none"/>
        <c:tickLblPos val="nextTo"/>
        <c:crossAx val="940723416"/>
        <c:crosses val="autoZero"/>
        <c:auto val="1"/>
        <c:lblAlgn val="ctr"/>
        <c:lblOffset val="100"/>
        <c:noMultiLvlLbl val="0"/>
      </c:catAx>
      <c:valAx>
        <c:axId val="940723416"/>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940723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834687227369193E-3"/>
          <c:y val="8.7769689166212708E-2"/>
          <c:w val="0.75218490093801571"/>
          <c:h val="0.74586020322878632"/>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3-F258-4E9C-9023-56A4E2F7C2BC}"/>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2-F258-4E9C-9023-56A4E2F7C2BC}"/>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1-F258-4E9C-9023-56A4E2F7C2BC}"/>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Pivort!$J$4:$J$6</c:f>
              <c:strCache>
                <c:ptCount val="3"/>
                <c:pt idx="0">
                  <c:v>Guest</c:v>
                </c:pt>
                <c:pt idx="1">
                  <c:v>New</c:v>
                </c:pt>
                <c:pt idx="2">
                  <c:v>Returning</c:v>
                </c:pt>
              </c:strCache>
            </c:strRef>
          </c:cat>
          <c:val>
            <c:numRef>
              <c:f>Pivort!$K$4:$K$6</c:f>
              <c:numCache>
                <c:formatCode>General</c:formatCode>
                <c:ptCount val="3"/>
                <c:pt idx="0">
                  <c:v>924</c:v>
                </c:pt>
                <c:pt idx="1">
                  <c:v>5570</c:v>
                </c:pt>
                <c:pt idx="2">
                  <c:v>4138</c:v>
                </c:pt>
              </c:numCache>
            </c:numRef>
          </c:val>
          <c:extLst>
            <c:ext xmlns:c16="http://schemas.microsoft.com/office/drawing/2014/chart" uri="{C3380CC4-5D6E-409C-BE32-E72D297353CC}">
              <c16:uniqueId val="{00000000-F258-4E9C-9023-56A4E2F7C2BC}"/>
            </c:ext>
          </c:extLst>
        </c:ser>
        <c:dLbls>
          <c:showLegendKey val="0"/>
          <c:showVal val="0"/>
          <c:showCatName val="0"/>
          <c:showSerName val="0"/>
          <c:showPercent val="0"/>
          <c:showBubbleSize val="0"/>
        </c:dLbls>
        <c:gapWidth val="60"/>
        <c:overlap val="-27"/>
        <c:axId val="939850688"/>
        <c:axId val="939849608"/>
      </c:barChart>
      <c:catAx>
        <c:axId val="939850688"/>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crossAx val="939849608"/>
        <c:crosses val="autoZero"/>
        <c:auto val="1"/>
        <c:lblAlgn val="ctr"/>
        <c:lblOffset val="100"/>
        <c:noMultiLvlLbl val="0"/>
      </c:catAx>
      <c:valAx>
        <c:axId val="939849608"/>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crossAx val="939850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187349890820389"/>
          <c:y val="0.11290959002948092"/>
          <c:w val="0.75218490093801571"/>
          <c:h val="0.74586020322878632"/>
        </c:manualLayout>
      </c:layout>
      <c:doughnutChart>
        <c:varyColors val="1"/>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329493918056296"/>
          <c:y val="4.3935674360482915E-2"/>
          <c:w val="0.75218490093801571"/>
          <c:h val="0.74586020322878632"/>
        </c:manualLayout>
      </c:layout>
      <c:barChart>
        <c:barDir val="col"/>
        <c:grouping val="clustered"/>
        <c:varyColors val="0"/>
        <c:ser>
          <c:idx val="0"/>
          <c:order val="0"/>
          <c:tx>
            <c:strRef>
              <c:f>Pivort!$J$4:$J$6</c:f>
              <c:strCache>
                <c:ptCount val="3"/>
                <c:pt idx="0">
                  <c:v>Guest</c:v>
                </c:pt>
                <c:pt idx="1">
                  <c:v>New</c:v>
                </c:pt>
                <c:pt idx="2">
                  <c:v>Returning</c:v>
                </c:pt>
              </c:strCache>
            </c:strRef>
          </c:tx>
          <c:spPr>
            <a:solidFill>
              <a:schemeClr val="accent1"/>
            </a:solidFill>
            <a:ln>
              <a:noFill/>
            </a:ln>
            <a:effectLst/>
          </c:spPr>
          <c:invertIfNegative val="0"/>
          <c:val>
            <c:numRef>
              <c:f>Pivort!$J$7</c:f>
              <c:numCache>
                <c:formatCode>General</c:formatCode>
                <c:ptCount val="1"/>
                <c:pt idx="0">
                  <c:v>0</c:v>
                </c:pt>
              </c:numCache>
            </c:numRef>
          </c:val>
          <c:extLst>
            <c:ext xmlns:c16="http://schemas.microsoft.com/office/drawing/2014/chart" uri="{C3380CC4-5D6E-409C-BE32-E72D297353CC}">
              <c16:uniqueId val="{00000006-E270-4887-9820-375A01DE0950}"/>
            </c:ext>
          </c:extLst>
        </c:ser>
        <c:dLbls>
          <c:showLegendKey val="0"/>
          <c:showVal val="0"/>
          <c:showCatName val="0"/>
          <c:showSerName val="0"/>
          <c:showPercent val="0"/>
          <c:showBubbleSize val="0"/>
        </c:dLbls>
        <c:gapWidth val="60"/>
        <c:overlap val="-27"/>
        <c:axId val="939850688"/>
        <c:axId val="939849608"/>
      </c:barChart>
      <c:catAx>
        <c:axId val="939850688"/>
        <c:scaling>
          <c:orientation val="maxMin"/>
        </c:scaling>
        <c:delete val="1"/>
        <c:axPos val="b"/>
        <c:numFmt formatCode="General" sourceLinked="1"/>
        <c:majorTickMark val="none"/>
        <c:minorTickMark val="none"/>
        <c:tickLblPos val="nextTo"/>
        <c:crossAx val="939849608"/>
        <c:crosses val="autoZero"/>
        <c:auto val="1"/>
        <c:lblAlgn val="ctr"/>
        <c:lblOffset val="100"/>
        <c:noMultiLvlLbl val="0"/>
      </c:catAx>
      <c:valAx>
        <c:axId val="939849608"/>
        <c:scaling>
          <c:orientation val="minMax"/>
        </c:scaling>
        <c:delete val="1"/>
        <c:axPos val="r"/>
        <c:numFmt formatCode="General" sourceLinked="1"/>
        <c:majorTickMark val="none"/>
        <c:minorTickMark val="none"/>
        <c:tickLblPos val="nextTo"/>
        <c:crossAx val="93985068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195874136713995"/>
          <c:y val="7.8567732602333309E-2"/>
          <c:w val="0.75218490093801571"/>
          <c:h val="0.74586020322878632"/>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5F4-4F70-A336-282A996EA4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5F4-4F70-A336-282A996EA42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5F4-4F70-A336-282A996EA42E}"/>
              </c:ext>
            </c:extLst>
          </c:dPt>
          <c:dLbls>
            <c:dLbl>
              <c:idx val="0"/>
              <c:layout>
                <c:manualLayout>
                  <c:x val="0.2852051512092586"/>
                  <c:y val="-2.59740436813878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5F4-4F70-A336-282A996EA42E}"/>
                </c:ext>
              </c:extLst>
            </c:dLbl>
            <c:dLbl>
              <c:idx val="1"/>
              <c:layout>
                <c:manualLayout>
                  <c:x val="7.1301287802314525E-2"/>
                  <c:y val="0.1731602912092519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5F4-4F70-A336-282A996EA42E}"/>
                </c:ext>
              </c:extLst>
            </c:dLbl>
            <c:dLbl>
              <c:idx val="2"/>
              <c:layout>
                <c:manualLayout>
                  <c:x val="-9.9821802923240527E-2"/>
                  <c:y val="-0.216450364011564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5F4-4F70-A336-282A996EA42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Pivort!$J$4:$J$6</c:f>
              <c:strCache>
                <c:ptCount val="3"/>
                <c:pt idx="0">
                  <c:v>Guest</c:v>
                </c:pt>
                <c:pt idx="1">
                  <c:v>New</c:v>
                </c:pt>
                <c:pt idx="2">
                  <c:v>Returning</c:v>
                </c:pt>
              </c:strCache>
            </c:strRef>
          </c:cat>
          <c:val>
            <c:numRef>
              <c:f>Pivort!$L$4:$L$6</c:f>
              <c:numCache>
                <c:formatCode>0%</c:formatCode>
                <c:ptCount val="3"/>
                <c:pt idx="0">
                  <c:v>8.6907449209932278E-2</c:v>
                </c:pt>
                <c:pt idx="1">
                  <c:v>0.5238901429646351</c:v>
                </c:pt>
                <c:pt idx="2">
                  <c:v>0.38920240782543264</c:v>
                </c:pt>
              </c:numCache>
            </c:numRef>
          </c:val>
          <c:extLst>
            <c:ext xmlns:c16="http://schemas.microsoft.com/office/drawing/2014/chart" uri="{C3380CC4-5D6E-409C-BE32-E72D297353CC}">
              <c16:uniqueId val="{00000006-15F4-4F70-A336-282A996EA42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6.474886788152083E-2"/>
          <c:y val="0.85389498169204869"/>
          <c:w val="0.89999993824297564"/>
          <c:h val="0.146105018307951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625002955711618"/>
          <c:y val="0.1082909463903219"/>
          <c:w val="0.80219189692519188"/>
          <c:h val="0.76908109836524241"/>
        </c:manualLayout>
      </c:layout>
      <c:areaChart>
        <c:grouping val="stacked"/>
        <c:varyColors val="0"/>
        <c:ser>
          <c:idx val="0"/>
          <c:order val="0"/>
          <c:spPr>
            <a:solidFill>
              <a:srgbClr val="9E2A90"/>
            </a:solidFill>
            <a:ln w="19050">
              <a:solidFill>
                <a:schemeClr val="accent5">
                  <a:lumMod val="50000"/>
                </a:schemeClr>
              </a:solidFill>
            </a:ln>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Pivort!$M$4:$M$10</c:f>
              <c:strCache>
                <c:ptCount val="7"/>
                <c:pt idx="0">
                  <c:v>Jan</c:v>
                </c:pt>
                <c:pt idx="1">
                  <c:v>Feb</c:v>
                </c:pt>
                <c:pt idx="2">
                  <c:v>Mar</c:v>
                </c:pt>
                <c:pt idx="3">
                  <c:v>Apr</c:v>
                </c:pt>
                <c:pt idx="4">
                  <c:v>May</c:v>
                </c:pt>
                <c:pt idx="5">
                  <c:v>Jun</c:v>
                </c:pt>
                <c:pt idx="6">
                  <c:v>Jul</c:v>
                </c:pt>
              </c:strCache>
            </c:strRef>
          </c:cat>
          <c:val>
            <c:numRef>
              <c:f>Pivort!$N$4:$N$10</c:f>
              <c:numCache>
                <c:formatCode>General</c:formatCode>
                <c:ptCount val="7"/>
                <c:pt idx="0">
                  <c:v>0</c:v>
                </c:pt>
                <c:pt idx="1">
                  <c:v>2781</c:v>
                </c:pt>
                <c:pt idx="2">
                  <c:v>2041</c:v>
                </c:pt>
                <c:pt idx="3">
                  <c:v>1604</c:v>
                </c:pt>
                <c:pt idx="4">
                  <c:v>936</c:v>
                </c:pt>
                <c:pt idx="5">
                  <c:v>2099</c:v>
                </c:pt>
                <c:pt idx="6">
                  <c:v>1171</c:v>
                </c:pt>
              </c:numCache>
            </c:numRef>
          </c:val>
          <c:extLst>
            <c:ext xmlns:c16="http://schemas.microsoft.com/office/drawing/2014/chart" uri="{C3380CC4-5D6E-409C-BE32-E72D297353CC}">
              <c16:uniqueId val="{00000000-E559-4360-A32B-5D594E4DDD02}"/>
            </c:ext>
          </c:extLst>
        </c:ser>
        <c:dLbls>
          <c:showLegendKey val="0"/>
          <c:showVal val="1"/>
          <c:showCatName val="0"/>
          <c:showSerName val="0"/>
          <c:showPercent val="0"/>
          <c:showBubbleSize val="0"/>
        </c:dLbls>
        <c:axId val="984144032"/>
        <c:axId val="984149432"/>
      </c:areaChart>
      <c:catAx>
        <c:axId val="9841440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4149432"/>
        <c:crosses val="autoZero"/>
        <c:auto val="1"/>
        <c:lblAlgn val="ctr"/>
        <c:lblOffset val="100"/>
        <c:noMultiLvlLbl val="0"/>
      </c:catAx>
      <c:valAx>
        <c:axId val="9841494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crossAx val="984144032"/>
        <c:crosses val="autoZero"/>
        <c:crossBetween val="midCat"/>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9414517629740712E-2"/>
          <c:y val="0.2333777062397587"/>
          <c:w val="0.82725829859502853"/>
          <c:h val="0.61030247432663154"/>
        </c:manualLayout>
      </c:layout>
      <c:lineChart>
        <c:grouping val="standard"/>
        <c:varyColors val="0"/>
        <c:ser>
          <c:idx val="0"/>
          <c:order val="0"/>
          <c:spPr>
            <a:ln w="28575" cap="rnd">
              <a:solidFill>
                <a:schemeClr val="accent1"/>
              </a:solidFill>
              <a:round/>
            </a:ln>
            <a:effectLst/>
          </c:spPr>
          <c:marker>
            <c:symbol val="circle"/>
            <c:size val="5"/>
            <c:spPr>
              <a:solidFill>
                <a:schemeClr val="tx2">
                  <a:lumMod val="25000"/>
                  <a:lumOff val="75000"/>
                </a:schemeClr>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Pivort!$P$4:$P$10</c:f>
              <c:strCache>
                <c:ptCount val="7"/>
                <c:pt idx="0">
                  <c:v>Jan</c:v>
                </c:pt>
                <c:pt idx="1">
                  <c:v>Feb</c:v>
                </c:pt>
                <c:pt idx="2">
                  <c:v>Mar</c:v>
                </c:pt>
                <c:pt idx="3">
                  <c:v>Apr</c:v>
                </c:pt>
                <c:pt idx="4">
                  <c:v>May</c:v>
                </c:pt>
                <c:pt idx="5">
                  <c:v>Jun</c:v>
                </c:pt>
                <c:pt idx="6">
                  <c:v>Jul</c:v>
                </c:pt>
              </c:strCache>
            </c:strRef>
          </c:cat>
          <c:val>
            <c:numRef>
              <c:f>Pivort!$Q$4:$Q$10</c:f>
              <c:numCache>
                <c:formatCode>0</c:formatCode>
                <c:ptCount val="7"/>
                <c:pt idx="0">
                  <c:v>0</c:v>
                </c:pt>
                <c:pt idx="1">
                  <c:v>1744.17</c:v>
                </c:pt>
                <c:pt idx="2">
                  <c:v>1893.79</c:v>
                </c:pt>
                <c:pt idx="3">
                  <c:v>1709.53</c:v>
                </c:pt>
                <c:pt idx="4">
                  <c:v>2032.67</c:v>
                </c:pt>
                <c:pt idx="5">
                  <c:v>1764.65</c:v>
                </c:pt>
                <c:pt idx="6">
                  <c:v>1208.3</c:v>
                </c:pt>
              </c:numCache>
            </c:numRef>
          </c:val>
          <c:smooth val="1"/>
          <c:extLst>
            <c:ext xmlns:c16="http://schemas.microsoft.com/office/drawing/2014/chart" uri="{C3380CC4-5D6E-409C-BE32-E72D297353CC}">
              <c16:uniqueId val="{00000000-3D95-411B-8480-2A78CEA87704}"/>
            </c:ext>
          </c:extLst>
        </c:ser>
        <c:dLbls>
          <c:showLegendKey val="0"/>
          <c:showVal val="0"/>
          <c:showCatName val="0"/>
          <c:showSerName val="0"/>
          <c:showPercent val="0"/>
          <c:showBubbleSize val="0"/>
        </c:dLbls>
        <c:marker val="1"/>
        <c:smooth val="0"/>
        <c:axId val="993858232"/>
        <c:axId val="993859312"/>
      </c:lineChart>
      <c:catAx>
        <c:axId val="993858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859312"/>
        <c:crosses val="autoZero"/>
        <c:auto val="1"/>
        <c:lblAlgn val="ctr"/>
        <c:lblOffset val="100"/>
        <c:noMultiLvlLbl val="0"/>
      </c:catAx>
      <c:valAx>
        <c:axId val="99385931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crossAx val="993858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124880079645216"/>
          <c:y val="0.27047601298358415"/>
          <c:w val="0.61971088476325775"/>
          <c:h val="0.4829270341207349"/>
        </c:manualLayout>
      </c:layout>
      <c:barChart>
        <c:barDir val="bar"/>
        <c:grouping val="clustered"/>
        <c:varyColors val="0"/>
        <c:ser>
          <c:idx val="0"/>
          <c:order val="0"/>
          <c:spPr>
            <a:solidFill>
              <a:schemeClr val="accent5">
                <a:lumMod val="40000"/>
                <a:lumOff val="60000"/>
              </a:schemeClr>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3-C2AB-4384-AC18-7CD7C8429148}"/>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2-C2AB-4384-AC18-7CD7C842914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Pivort!$S$4:$S$6</c:f>
              <c:strCache>
                <c:ptCount val="3"/>
                <c:pt idx="0">
                  <c:v>Direct</c:v>
                </c:pt>
                <c:pt idx="1">
                  <c:v>Organic</c:v>
                </c:pt>
                <c:pt idx="2">
                  <c:v>Paid Search</c:v>
                </c:pt>
              </c:strCache>
            </c:strRef>
          </c:cat>
          <c:val>
            <c:numRef>
              <c:f>Pivort!$U$4:$U$6</c:f>
              <c:numCache>
                <c:formatCode>0%</c:formatCode>
                <c:ptCount val="3"/>
                <c:pt idx="0">
                  <c:v>0.45243341698163864</c:v>
                </c:pt>
                <c:pt idx="1">
                  <c:v>0.43355510461201652</c:v>
                </c:pt>
                <c:pt idx="2">
                  <c:v>0.11401147840634493</c:v>
                </c:pt>
              </c:numCache>
            </c:numRef>
          </c:val>
          <c:extLst>
            <c:ext xmlns:c16="http://schemas.microsoft.com/office/drawing/2014/chart" uri="{C3380CC4-5D6E-409C-BE32-E72D297353CC}">
              <c16:uniqueId val="{00000000-C2AB-4384-AC18-7CD7C8429148}"/>
            </c:ext>
          </c:extLst>
        </c:ser>
        <c:dLbls>
          <c:dLblPos val="outEnd"/>
          <c:showLegendKey val="0"/>
          <c:showVal val="1"/>
          <c:showCatName val="0"/>
          <c:showSerName val="0"/>
          <c:showPercent val="0"/>
          <c:showBubbleSize val="0"/>
        </c:dLbls>
        <c:gapWidth val="182"/>
        <c:axId val="779582104"/>
        <c:axId val="991579680"/>
      </c:barChart>
      <c:catAx>
        <c:axId val="7795821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crossAx val="991579680"/>
        <c:crosses val="autoZero"/>
        <c:auto val="1"/>
        <c:lblAlgn val="ctr"/>
        <c:lblOffset val="100"/>
        <c:noMultiLvlLbl val="0"/>
      </c:catAx>
      <c:valAx>
        <c:axId val="991579680"/>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582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415926038730908"/>
          <c:y val="0.25611759574712145"/>
          <c:w val="0.74939312647767253"/>
          <c:h val="0.73614173228346458"/>
        </c:manualLayout>
      </c:layout>
      <c:barChart>
        <c:barDir val="bar"/>
        <c:grouping val="clustered"/>
        <c:varyColors val="0"/>
        <c:ser>
          <c:idx val="0"/>
          <c:order val="0"/>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Pivort!$Y$4:$Y$6</c:f>
              <c:strCache>
                <c:ptCount val="3"/>
                <c:pt idx="0">
                  <c:v>Page 3</c:v>
                </c:pt>
                <c:pt idx="1">
                  <c:v>Page 1</c:v>
                </c:pt>
                <c:pt idx="2">
                  <c:v>Page 2</c:v>
                </c:pt>
              </c:strCache>
            </c:strRef>
          </c:cat>
          <c:val>
            <c:numRef>
              <c:f>Pivort!$AA$4:$AA$6</c:f>
              <c:numCache>
                <c:formatCode>0%</c:formatCode>
                <c:ptCount val="3"/>
                <c:pt idx="0">
                  <c:v>0.41507851222802095</c:v>
                </c:pt>
                <c:pt idx="1">
                  <c:v>0.32193522081893772</c:v>
                </c:pt>
                <c:pt idx="2">
                  <c:v>0.26298626695304123</c:v>
                </c:pt>
              </c:numCache>
            </c:numRef>
          </c:val>
          <c:extLst>
            <c:ext xmlns:c16="http://schemas.microsoft.com/office/drawing/2014/chart" uri="{C3380CC4-5D6E-409C-BE32-E72D297353CC}">
              <c16:uniqueId val="{00000000-FDD5-4D2B-95FA-12C931B0B2E0}"/>
            </c:ext>
          </c:extLst>
        </c:ser>
        <c:dLbls>
          <c:showLegendKey val="0"/>
          <c:showVal val="0"/>
          <c:showCatName val="0"/>
          <c:showSerName val="0"/>
          <c:showPercent val="0"/>
          <c:showBubbleSize val="0"/>
        </c:dLbls>
        <c:gapWidth val="182"/>
        <c:axId val="940720176"/>
        <c:axId val="940723776"/>
      </c:barChart>
      <c:catAx>
        <c:axId val="94072017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crossAx val="940723776"/>
        <c:crosses val="autoZero"/>
        <c:auto val="1"/>
        <c:lblAlgn val="ctr"/>
        <c:lblOffset val="100"/>
        <c:noMultiLvlLbl val="0"/>
      </c:catAx>
      <c:valAx>
        <c:axId val="940723776"/>
        <c:scaling>
          <c:orientation val="minMax"/>
        </c:scaling>
        <c:delete val="0"/>
        <c:axPos val="t"/>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720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887825417582521"/>
          <c:y val="8.8888888888888892E-2"/>
          <c:w val="0.78657108486439198"/>
          <c:h val="0.64945231846019236"/>
        </c:manualLayout>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Pivort!$V$4:$V$7</c:f>
              <c:strCache>
                <c:ptCount val="4"/>
                <c:pt idx="0">
                  <c:v>Campaign 1</c:v>
                </c:pt>
                <c:pt idx="1">
                  <c:v>Campaign 3</c:v>
                </c:pt>
                <c:pt idx="2">
                  <c:v>Campaign 2</c:v>
                </c:pt>
                <c:pt idx="3">
                  <c:v>Campaign 4</c:v>
                </c:pt>
              </c:strCache>
            </c:strRef>
          </c:cat>
          <c:val>
            <c:numRef>
              <c:f>Pivort!$X$4:$X$7</c:f>
              <c:numCache>
                <c:formatCode>0%</c:formatCode>
                <c:ptCount val="4"/>
                <c:pt idx="0">
                  <c:v>0.31909622920790254</c:v>
                </c:pt>
                <c:pt idx="1">
                  <c:v>0.2458888725251695</c:v>
                </c:pt>
                <c:pt idx="2">
                  <c:v>0.21935265982834548</c:v>
                </c:pt>
                <c:pt idx="3">
                  <c:v>0.21566223843858245</c:v>
                </c:pt>
              </c:numCache>
            </c:numRef>
          </c:val>
          <c:extLst>
            <c:ext xmlns:c16="http://schemas.microsoft.com/office/drawing/2014/chart" uri="{C3380CC4-5D6E-409C-BE32-E72D297353CC}">
              <c16:uniqueId val="{00000000-4CF0-41D2-9C43-3E4C6D540D99}"/>
            </c:ext>
          </c:extLst>
        </c:ser>
        <c:dLbls>
          <c:dLblPos val="outEnd"/>
          <c:showLegendKey val="0"/>
          <c:showVal val="1"/>
          <c:showCatName val="0"/>
          <c:showSerName val="0"/>
          <c:showPercent val="0"/>
          <c:showBubbleSize val="0"/>
        </c:dLbls>
        <c:gapWidth val="182"/>
        <c:axId val="968736608"/>
        <c:axId val="968736968"/>
      </c:barChart>
      <c:catAx>
        <c:axId val="96873660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crossAx val="968736968"/>
        <c:crosses val="autoZero"/>
        <c:auto val="1"/>
        <c:lblAlgn val="ctr"/>
        <c:lblOffset val="100"/>
        <c:noMultiLvlLbl val="0"/>
      </c:catAx>
      <c:valAx>
        <c:axId val="968736968"/>
        <c:scaling>
          <c:orientation val="minMax"/>
        </c:scaling>
        <c:delete val="0"/>
        <c:axPos val="t"/>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736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svg"/><Relationship Id="rId18" Type="http://schemas.openxmlformats.org/officeDocument/2006/relationships/chart" Target="../charts/chart1.xml"/><Relationship Id="rId26" Type="http://schemas.openxmlformats.org/officeDocument/2006/relationships/chart" Target="../charts/chart9.xml"/><Relationship Id="rId3" Type="http://schemas.openxmlformats.org/officeDocument/2006/relationships/image" Target="../media/image3.png"/><Relationship Id="rId21" Type="http://schemas.openxmlformats.org/officeDocument/2006/relationships/chart" Target="../charts/chart4.xml"/><Relationship Id="rId7" Type="http://schemas.openxmlformats.org/officeDocument/2006/relationships/image" Target="../media/image7.svg"/><Relationship Id="rId12" Type="http://schemas.openxmlformats.org/officeDocument/2006/relationships/image" Target="../media/image12.png"/><Relationship Id="rId17" Type="http://schemas.openxmlformats.org/officeDocument/2006/relationships/image" Target="../media/image17.svg"/><Relationship Id="rId25" Type="http://schemas.openxmlformats.org/officeDocument/2006/relationships/chart" Target="../charts/chart8.xml"/><Relationship Id="rId2" Type="http://schemas.openxmlformats.org/officeDocument/2006/relationships/image" Target="../media/image2.svg"/><Relationship Id="rId16" Type="http://schemas.openxmlformats.org/officeDocument/2006/relationships/image" Target="../media/image16.png"/><Relationship Id="rId20" Type="http://schemas.openxmlformats.org/officeDocument/2006/relationships/chart" Target="../charts/chart3.xml"/><Relationship Id="rId29" Type="http://schemas.openxmlformats.org/officeDocument/2006/relationships/image" Target="../media/image18.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svg"/><Relationship Id="rId24" Type="http://schemas.openxmlformats.org/officeDocument/2006/relationships/chart" Target="../charts/chart7.xml"/><Relationship Id="rId5" Type="http://schemas.openxmlformats.org/officeDocument/2006/relationships/image" Target="../media/image5.jpeg"/><Relationship Id="rId15" Type="http://schemas.openxmlformats.org/officeDocument/2006/relationships/image" Target="../media/image15.svg"/><Relationship Id="rId23" Type="http://schemas.openxmlformats.org/officeDocument/2006/relationships/chart" Target="../charts/chart6.xml"/><Relationship Id="rId28" Type="http://schemas.openxmlformats.org/officeDocument/2006/relationships/chart" Target="../charts/chart11.xml"/><Relationship Id="rId10" Type="http://schemas.openxmlformats.org/officeDocument/2006/relationships/image" Target="../media/image10.png"/><Relationship Id="rId19"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image" Target="../media/image9.svg"/><Relationship Id="rId14" Type="http://schemas.openxmlformats.org/officeDocument/2006/relationships/image" Target="../media/image14.png"/><Relationship Id="rId22" Type="http://schemas.openxmlformats.org/officeDocument/2006/relationships/chart" Target="../charts/chart5.xml"/><Relationship Id="rId27" Type="http://schemas.openxmlformats.org/officeDocument/2006/relationships/chart" Target="../charts/chart10.xml"/><Relationship Id="rId30" Type="http://schemas.openxmlformats.org/officeDocument/2006/relationships/image" Target="../media/image19.svg"/></Relationships>
</file>

<file path=xl/drawings/drawing1.xml><?xml version="1.0" encoding="utf-8"?>
<xdr:wsDr xmlns:xdr="http://schemas.openxmlformats.org/drawingml/2006/spreadsheetDrawing" xmlns:a="http://schemas.openxmlformats.org/drawingml/2006/main">
  <xdr:twoCellAnchor>
    <xdr:from>
      <xdr:col>0</xdr:col>
      <xdr:colOff>47625</xdr:colOff>
      <xdr:row>0</xdr:row>
      <xdr:rowOff>0</xdr:rowOff>
    </xdr:from>
    <xdr:to>
      <xdr:col>19</xdr:col>
      <xdr:colOff>438825</xdr:colOff>
      <xdr:row>35</xdr:row>
      <xdr:rowOff>66675</xdr:rowOff>
    </xdr:to>
    <xdr:sp macro="" textlink="">
      <xdr:nvSpPr>
        <xdr:cNvPr id="3" name="Rectangle 2">
          <a:extLst>
            <a:ext uri="{FF2B5EF4-FFF2-40B4-BE49-F238E27FC236}">
              <a16:creationId xmlns:a16="http://schemas.microsoft.com/office/drawing/2014/main" id="{850D988D-85C5-576B-053E-EACCEEAA65EF}"/>
            </a:ext>
          </a:extLst>
        </xdr:cNvPr>
        <xdr:cNvSpPr/>
      </xdr:nvSpPr>
      <xdr:spPr>
        <a:xfrm>
          <a:off x="47625" y="0"/>
          <a:ext cx="11973600" cy="6734175"/>
        </a:xfrm>
        <a:prstGeom prst="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304800</xdr:colOff>
      <xdr:row>0</xdr:row>
      <xdr:rowOff>123824</xdr:rowOff>
    </xdr:from>
    <xdr:to>
      <xdr:col>19</xdr:col>
      <xdr:colOff>112800</xdr:colOff>
      <xdr:row>4</xdr:row>
      <xdr:rowOff>74624</xdr:rowOff>
    </xdr:to>
    <xdr:sp macro="[0]!Rectangle3_Click" textlink="">
      <xdr:nvSpPr>
        <xdr:cNvPr id="4" name="Rectangle 3">
          <a:extLst>
            <a:ext uri="{FF2B5EF4-FFF2-40B4-BE49-F238E27FC236}">
              <a16:creationId xmlns:a16="http://schemas.microsoft.com/office/drawing/2014/main" id="{18E0C91B-3F53-34FF-034A-4B7CEC529CC5}"/>
            </a:ext>
          </a:extLst>
        </xdr:cNvPr>
        <xdr:cNvSpPr/>
      </xdr:nvSpPr>
      <xdr:spPr>
        <a:xfrm>
          <a:off x="304800" y="123824"/>
          <a:ext cx="11390400" cy="712800"/>
        </a:xfrm>
        <a:prstGeom prst="rect">
          <a:avLst/>
        </a:prstGeom>
        <a:solidFill>
          <a:schemeClr val="accent5">
            <a:lumMod val="75000"/>
          </a:schemeClr>
        </a:solidFill>
        <a:ln>
          <a:noFill/>
        </a:ln>
        <a:effectLst>
          <a:innerShdw blurRad="63500" dist="50800" dir="162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clientData/>
  </xdr:twoCellAnchor>
  <xdr:twoCellAnchor editAs="oneCell">
    <xdr:from>
      <xdr:col>0</xdr:col>
      <xdr:colOff>504826</xdr:colOff>
      <xdr:row>1</xdr:row>
      <xdr:rowOff>38100</xdr:rowOff>
    </xdr:from>
    <xdr:to>
      <xdr:col>1</xdr:col>
      <xdr:colOff>447675</xdr:colOff>
      <xdr:row>4</xdr:row>
      <xdr:rowOff>19049</xdr:rowOff>
    </xdr:to>
    <xdr:pic>
      <xdr:nvPicPr>
        <xdr:cNvPr id="6" name="Graphic 5" descr="A wreath with olives and leaves">
          <a:extLst>
            <a:ext uri="{FF2B5EF4-FFF2-40B4-BE49-F238E27FC236}">
              <a16:creationId xmlns:a16="http://schemas.microsoft.com/office/drawing/2014/main" id="{17BFEB5F-F762-89A5-5139-D661D8EBEB9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04826" y="228600"/>
          <a:ext cx="552449" cy="552449"/>
        </a:xfrm>
        <a:prstGeom prst="rect">
          <a:avLst/>
        </a:prstGeom>
      </xdr:spPr>
    </xdr:pic>
    <xdr:clientData/>
  </xdr:twoCellAnchor>
  <xdr:twoCellAnchor editAs="oneCell">
    <xdr:from>
      <xdr:col>1</xdr:col>
      <xdr:colOff>558052</xdr:colOff>
      <xdr:row>1</xdr:row>
      <xdr:rowOff>47625</xdr:rowOff>
    </xdr:from>
    <xdr:to>
      <xdr:col>2</xdr:col>
      <xdr:colOff>472327</xdr:colOff>
      <xdr:row>4</xdr:row>
      <xdr:rowOff>0</xdr:rowOff>
    </xdr:to>
    <xdr:pic>
      <xdr:nvPicPr>
        <xdr:cNvPr id="8" name="Graphic 7" descr="Briefcase with solid fill">
          <a:extLst>
            <a:ext uri="{FF2B5EF4-FFF2-40B4-BE49-F238E27FC236}">
              <a16:creationId xmlns:a16="http://schemas.microsoft.com/office/drawing/2014/main" id="{ED4E0E55-F0D5-508B-169D-DAA0212B17C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67652" y="238125"/>
          <a:ext cx="523875" cy="523875"/>
        </a:xfrm>
        <a:prstGeom prst="rect">
          <a:avLst/>
        </a:prstGeom>
      </xdr:spPr>
    </xdr:pic>
    <xdr:clientData/>
  </xdr:twoCellAnchor>
  <xdr:twoCellAnchor>
    <xdr:from>
      <xdr:col>1</xdr:col>
      <xdr:colOff>523875</xdr:colOff>
      <xdr:row>1</xdr:row>
      <xdr:rowOff>19050</xdr:rowOff>
    </xdr:from>
    <xdr:to>
      <xdr:col>1</xdr:col>
      <xdr:colOff>533400</xdr:colOff>
      <xdr:row>4</xdr:row>
      <xdr:rowOff>57150</xdr:rowOff>
    </xdr:to>
    <xdr:cxnSp macro="">
      <xdr:nvCxnSpPr>
        <xdr:cNvPr id="12" name="Straight Connector 11">
          <a:extLst>
            <a:ext uri="{FF2B5EF4-FFF2-40B4-BE49-F238E27FC236}">
              <a16:creationId xmlns:a16="http://schemas.microsoft.com/office/drawing/2014/main" id="{C9AE810A-5B1B-4A9F-ED04-EA2434D450C3}"/>
            </a:ext>
          </a:extLst>
        </xdr:cNvPr>
        <xdr:cNvCxnSpPr/>
      </xdr:nvCxnSpPr>
      <xdr:spPr>
        <a:xfrm flipH="1">
          <a:off x="1133475" y="209550"/>
          <a:ext cx="9525" cy="609600"/>
        </a:xfrm>
        <a:prstGeom prst="line">
          <a:avLst/>
        </a:prstGeom>
        <a:ln>
          <a:solidFill>
            <a:schemeClr val="bg1"/>
          </a:solidFill>
        </a:ln>
      </xdr:spPr>
      <xdr:style>
        <a:lnRef idx="1">
          <a:schemeClr val="accent4"/>
        </a:lnRef>
        <a:fillRef idx="0">
          <a:schemeClr val="accent4"/>
        </a:fillRef>
        <a:effectRef idx="0">
          <a:schemeClr val="accent4"/>
        </a:effectRef>
        <a:fontRef idx="minor">
          <a:schemeClr val="tx1"/>
        </a:fontRef>
      </xdr:style>
    </xdr:cxnSp>
    <xdr:clientData/>
  </xdr:twoCellAnchor>
  <xdr:twoCellAnchor editAs="oneCell">
    <xdr:from>
      <xdr:col>14</xdr:col>
      <xdr:colOff>561974</xdr:colOff>
      <xdr:row>1</xdr:row>
      <xdr:rowOff>114300</xdr:rowOff>
    </xdr:from>
    <xdr:to>
      <xdr:col>15</xdr:col>
      <xdr:colOff>437149</xdr:colOff>
      <xdr:row>3</xdr:row>
      <xdr:rowOff>104775</xdr:rowOff>
    </xdr:to>
    <xdr:pic>
      <xdr:nvPicPr>
        <xdr:cNvPr id="22" name="Picture 21" descr="Magnets floating in the dark">
          <a:extLst>
            <a:ext uri="{FF2B5EF4-FFF2-40B4-BE49-F238E27FC236}">
              <a16:creationId xmlns:a16="http://schemas.microsoft.com/office/drawing/2014/main" id="{F76149BA-9166-860D-2986-281FE7E42EC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096374" y="304800"/>
          <a:ext cx="484775" cy="371475"/>
        </a:xfrm>
        <a:prstGeom prst="rect">
          <a:avLst/>
        </a:prstGeom>
      </xdr:spPr>
    </xdr:pic>
    <xdr:clientData/>
  </xdr:twoCellAnchor>
  <xdr:twoCellAnchor>
    <xdr:from>
      <xdr:col>2</xdr:col>
      <xdr:colOff>552450</xdr:colOff>
      <xdr:row>1</xdr:row>
      <xdr:rowOff>114300</xdr:rowOff>
    </xdr:from>
    <xdr:to>
      <xdr:col>14</xdr:col>
      <xdr:colOff>523875</xdr:colOff>
      <xdr:row>3</xdr:row>
      <xdr:rowOff>142875</xdr:rowOff>
    </xdr:to>
    <xdr:sp macro="" textlink="">
      <xdr:nvSpPr>
        <xdr:cNvPr id="25" name="TextBox 24">
          <a:extLst>
            <a:ext uri="{FF2B5EF4-FFF2-40B4-BE49-F238E27FC236}">
              <a16:creationId xmlns:a16="http://schemas.microsoft.com/office/drawing/2014/main" id="{82AB059B-8734-C3DE-D01F-099A8529FB02}"/>
            </a:ext>
          </a:extLst>
        </xdr:cNvPr>
        <xdr:cNvSpPr txBox="1"/>
      </xdr:nvSpPr>
      <xdr:spPr>
        <a:xfrm>
          <a:off x="1771650" y="304800"/>
          <a:ext cx="728662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solidFill>
                <a:schemeClr val="bg1"/>
              </a:solidFill>
            </a:rPr>
            <a:t>Business KPI Weekly Visits Dashboard</a:t>
          </a:r>
        </a:p>
      </xdr:txBody>
    </xdr:sp>
    <xdr:clientData/>
  </xdr:twoCellAnchor>
  <xdr:twoCellAnchor>
    <xdr:from>
      <xdr:col>0</xdr:col>
      <xdr:colOff>323849</xdr:colOff>
      <xdr:row>5</xdr:row>
      <xdr:rowOff>19049</xdr:rowOff>
    </xdr:from>
    <xdr:to>
      <xdr:col>5</xdr:col>
      <xdr:colOff>62249</xdr:colOff>
      <xdr:row>14</xdr:row>
      <xdr:rowOff>104549</xdr:rowOff>
    </xdr:to>
    <xdr:sp macro="" textlink="">
      <xdr:nvSpPr>
        <xdr:cNvPr id="28" name="Rectangle 27">
          <a:extLst>
            <a:ext uri="{FF2B5EF4-FFF2-40B4-BE49-F238E27FC236}">
              <a16:creationId xmlns:a16="http://schemas.microsoft.com/office/drawing/2014/main" id="{F7AF5C58-F07F-8D09-30AE-69014ED4A420}"/>
            </a:ext>
          </a:extLst>
        </xdr:cNvPr>
        <xdr:cNvSpPr/>
      </xdr:nvSpPr>
      <xdr:spPr>
        <a:xfrm>
          <a:off x="323849" y="971549"/>
          <a:ext cx="2786400" cy="1800000"/>
        </a:xfrm>
        <a:prstGeom prst="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161925</xdr:colOff>
      <xdr:row>5</xdr:row>
      <xdr:rowOff>9525</xdr:rowOff>
    </xdr:from>
    <xdr:to>
      <xdr:col>8</xdr:col>
      <xdr:colOff>457125</xdr:colOff>
      <xdr:row>14</xdr:row>
      <xdr:rowOff>95025</xdr:rowOff>
    </xdr:to>
    <xdr:sp macro="" textlink="">
      <xdr:nvSpPr>
        <xdr:cNvPr id="29" name="Rectangle 28">
          <a:extLst>
            <a:ext uri="{FF2B5EF4-FFF2-40B4-BE49-F238E27FC236}">
              <a16:creationId xmlns:a16="http://schemas.microsoft.com/office/drawing/2014/main" id="{E7A6A46F-C495-474F-BA1B-90869AC2F4B9}"/>
            </a:ext>
          </a:extLst>
        </xdr:cNvPr>
        <xdr:cNvSpPr/>
      </xdr:nvSpPr>
      <xdr:spPr>
        <a:xfrm>
          <a:off x="3209925" y="962025"/>
          <a:ext cx="2124000" cy="1800000"/>
        </a:xfrm>
        <a:prstGeom prst="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495300</xdr:colOff>
      <xdr:row>5</xdr:row>
      <xdr:rowOff>28575</xdr:rowOff>
    </xdr:from>
    <xdr:to>
      <xdr:col>14</xdr:col>
      <xdr:colOff>185700</xdr:colOff>
      <xdr:row>14</xdr:row>
      <xdr:rowOff>114075</xdr:rowOff>
    </xdr:to>
    <xdr:sp macro="" textlink="">
      <xdr:nvSpPr>
        <xdr:cNvPr id="30" name="Rectangle 29">
          <a:extLst>
            <a:ext uri="{FF2B5EF4-FFF2-40B4-BE49-F238E27FC236}">
              <a16:creationId xmlns:a16="http://schemas.microsoft.com/office/drawing/2014/main" id="{8BF8D959-6769-49EF-9CC7-0D138AC4FA93}"/>
            </a:ext>
          </a:extLst>
        </xdr:cNvPr>
        <xdr:cNvSpPr/>
      </xdr:nvSpPr>
      <xdr:spPr>
        <a:xfrm>
          <a:off x="5372100" y="981075"/>
          <a:ext cx="3348000" cy="1800000"/>
        </a:xfrm>
        <a:prstGeom prst="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3</a:t>
          </a:r>
        </a:p>
      </xdr:txBody>
    </xdr:sp>
    <xdr:clientData/>
  </xdr:twoCellAnchor>
  <xdr:twoCellAnchor>
    <xdr:from>
      <xdr:col>0</xdr:col>
      <xdr:colOff>323850</xdr:colOff>
      <xdr:row>15</xdr:row>
      <xdr:rowOff>47625</xdr:rowOff>
    </xdr:from>
    <xdr:to>
      <xdr:col>7</xdr:col>
      <xdr:colOff>477450</xdr:colOff>
      <xdr:row>23</xdr:row>
      <xdr:rowOff>165225</xdr:rowOff>
    </xdr:to>
    <xdr:sp macro="" textlink="">
      <xdr:nvSpPr>
        <xdr:cNvPr id="32" name="Rectangle 31">
          <a:extLst>
            <a:ext uri="{FF2B5EF4-FFF2-40B4-BE49-F238E27FC236}">
              <a16:creationId xmlns:a16="http://schemas.microsoft.com/office/drawing/2014/main" id="{5ECF53AD-09B0-4313-920E-6F67763D0CA6}"/>
            </a:ext>
          </a:extLst>
        </xdr:cNvPr>
        <xdr:cNvSpPr/>
      </xdr:nvSpPr>
      <xdr:spPr>
        <a:xfrm>
          <a:off x="323850" y="2905125"/>
          <a:ext cx="4420800" cy="1641600"/>
        </a:xfrm>
        <a:prstGeom prst="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504825</xdr:colOff>
      <xdr:row>15</xdr:row>
      <xdr:rowOff>95250</xdr:rowOff>
    </xdr:from>
    <xdr:to>
      <xdr:col>14</xdr:col>
      <xdr:colOff>150825</xdr:colOff>
      <xdr:row>24</xdr:row>
      <xdr:rowOff>22350</xdr:rowOff>
    </xdr:to>
    <xdr:sp macro="" textlink="">
      <xdr:nvSpPr>
        <xdr:cNvPr id="33" name="Rectangle 32">
          <a:extLst>
            <a:ext uri="{FF2B5EF4-FFF2-40B4-BE49-F238E27FC236}">
              <a16:creationId xmlns:a16="http://schemas.microsoft.com/office/drawing/2014/main" id="{D565AB16-7C69-473E-B24D-E0D3873EC108}"/>
            </a:ext>
          </a:extLst>
        </xdr:cNvPr>
        <xdr:cNvSpPr/>
      </xdr:nvSpPr>
      <xdr:spPr>
        <a:xfrm>
          <a:off x="4772025" y="2952750"/>
          <a:ext cx="3913200" cy="1641600"/>
        </a:xfrm>
        <a:prstGeom prst="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323850</xdr:colOff>
      <xdr:row>24</xdr:row>
      <xdr:rowOff>171450</xdr:rowOff>
    </xdr:from>
    <xdr:to>
      <xdr:col>4</xdr:col>
      <xdr:colOff>585450</xdr:colOff>
      <xdr:row>33</xdr:row>
      <xdr:rowOff>98550</xdr:rowOff>
    </xdr:to>
    <xdr:sp macro="" textlink="">
      <xdr:nvSpPr>
        <xdr:cNvPr id="34" name="Rectangle 33">
          <a:extLst>
            <a:ext uri="{FF2B5EF4-FFF2-40B4-BE49-F238E27FC236}">
              <a16:creationId xmlns:a16="http://schemas.microsoft.com/office/drawing/2014/main" id="{E6737437-BFAC-4638-9180-FCED329BDA44}"/>
            </a:ext>
          </a:extLst>
        </xdr:cNvPr>
        <xdr:cNvSpPr/>
      </xdr:nvSpPr>
      <xdr:spPr>
        <a:xfrm>
          <a:off x="323850" y="4743450"/>
          <a:ext cx="2700000" cy="1641600"/>
        </a:xfrm>
        <a:prstGeom prst="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142875</xdr:colOff>
      <xdr:row>24</xdr:row>
      <xdr:rowOff>171450</xdr:rowOff>
    </xdr:from>
    <xdr:to>
      <xdr:col>9</xdr:col>
      <xdr:colOff>404475</xdr:colOff>
      <xdr:row>33</xdr:row>
      <xdr:rowOff>98550</xdr:rowOff>
    </xdr:to>
    <xdr:sp macro="" textlink="">
      <xdr:nvSpPr>
        <xdr:cNvPr id="35" name="Rectangle 34">
          <a:extLst>
            <a:ext uri="{FF2B5EF4-FFF2-40B4-BE49-F238E27FC236}">
              <a16:creationId xmlns:a16="http://schemas.microsoft.com/office/drawing/2014/main" id="{CC5B8ACC-4288-4317-AE8E-955F0E612C96}"/>
            </a:ext>
          </a:extLst>
        </xdr:cNvPr>
        <xdr:cNvSpPr/>
      </xdr:nvSpPr>
      <xdr:spPr>
        <a:xfrm>
          <a:off x="3190875" y="4743450"/>
          <a:ext cx="2700000" cy="1641600"/>
        </a:xfrm>
        <a:prstGeom prst="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514350</xdr:colOff>
      <xdr:row>24</xdr:row>
      <xdr:rowOff>161925</xdr:rowOff>
    </xdr:from>
    <xdr:to>
      <xdr:col>14</xdr:col>
      <xdr:colOff>166350</xdr:colOff>
      <xdr:row>33</xdr:row>
      <xdr:rowOff>89025</xdr:rowOff>
    </xdr:to>
    <xdr:sp macro="" textlink="">
      <xdr:nvSpPr>
        <xdr:cNvPr id="36" name="Rectangle 35">
          <a:extLst>
            <a:ext uri="{FF2B5EF4-FFF2-40B4-BE49-F238E27FC236}">
              <a16:creationId xmlns:a16="http://schemas.microsoft.com/office/drawing/2014/main" id="{B1B29D8A-330A-4FC5-B405-16053AB698AB}"/>
            </a:ext>
          </a:extLst>
        </xdr:cNvPr>
        <xdr:cNvSpPr/>
      </xdr:nvSpPr>
      <xdr:spPr>
        <a:xfrm>
          <a:off x="6000750" y="4733925"/>
          <a:ext cx="2700000" cy="1641600"/>
        </a:xfrm>
        <a:prstGeom prst="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409575</xdr:colOff>
      <xdr:row>4</xdr:row>
      <xdr:rowOff>161925</xdr:rowOff>
    </xdr:from>
    <xdr:to>
      <xdr:col>19</xdr:col>
      <xdr:colOff>147975</xdr:colOff>
      <xdr:row>8</xdr:row>
      <xdr:rowOff>148725</xdr:rowOff>
    </xdr:to>
    <xdr:sp macro="" textlink="">
      <xdr:nvSpPr>
        <xdr:cNvPr id="37" name="Rectangle 36">
          <a:extLst>
            <a:ext uri="{FF2B5EF4-FFF2-40B4-BE49-F238E27FC236}">
              <a16:creationId xmlns:a16="http://schemas.microsoft.com/office/drawing/2014/main" id="{18570792-DECC-4AD5-88D2-4239E03BF5BE}"/>
            </a:ext>
          </a:extLst>
        </xdr:cNvPr>
        <xdr:cNvSpPr/>
      </xdr:nvSpPr>
      <xdr:spPr>
        <a:xfrm>
          <a:off x="8943975" y="923925"/>
          <a:ext cx="2786400" cy="748800"/>
        </a:xfrm>
        <a:prstGeom prst="rect">
          <a:avLst/>
        </a:prstGeom>
        <a:solidFill>
          <a:srgbClr val="9900CC">
            <a:alpha val="50196"/>
          </a:srgb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352425</xdr:colOff>
      <xdr:row>14</xdr:row>
      <xdr:rowOff>142875</xdr:rowOff>
    </xdr:from>
    <xdr:to>
      <xdr:col>19</xdr:col>
      <xdr:colOff>90825</xdr:colOff>
      <xdr:row>18</xdr:row>
      <xdr:rowOff>129675</xdr:rowOff>
    </xdr:to>
    <xdr:sp macro="" textlink="">
      <xdr:nvSpPr>
        <xdr:cNvPr id="40" name="Rectangle 39">
          <a:extLst>
            <a:ext uri="{FF2B5EF4-FFF2-40B4-BE49-F238E27FC236}">
              <a16:creationId xmlns:a16="http://schemas.microsoft.com/office/drawing/2014/main" id="{408B404B-C43A-4FDB-806B-E81A98FF856B}"/>
            </a:ext>
          </a:extLst>
        </xdr:cNvPr>
        <xdr:cNvSpPr/>
      </xdr:nvSpPr>
      <xdr:spPr>
        <a:xfrm>
          <a:off x="8886825" y="2809875"/>
          <a:ext cx="2786400" cy="748800"/>
        </a:xfrm>
        <a:prstGeom prst="rect">
          <a:avLst/>
        </a:prstGeom>
        <a:solidFill>
          <a:srgbClr val="AC2E9D">
            <a:alpha val="76863"/>
          </a:srgb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400050</xdr:colOff>
      <xdr:row>20</xdr:row>
      <xdr:rowOff>28575</xdr:rowOff>
    </xdr:from>
    <xdr:to>
      <xdr:col>19</xdr:col>
      <xdr:colOff>138450</xdr:colOff>
      <xdr:row>24</xdr:row>
      <xdr:rowOff>15375</xdr:rowOff>
    </xdr:to>
    <xdr:sp macro="" textlink="">
      <xdr:nvSpPr>
        <xdr:cNvPr id="41" name="Rectangle 40">
          <a:extLst>
            <a:ext uri="{FF2B5EF4-FFF2-40B4-BE49-F238E27FC236}">
              <a16:creationId xmlns:a16="http://schemas.microsoft.com/office/drawing/2014/main" id="{EC2644F3-6EE2-4A7A-8CE5-B3B0A591A060}"/>
            </a:ext>
          </a:extLst>
        </xdr:cNvPr>
        <xdr:cNvSpPr/>
      </xdr:nvSpPr>
      <xdr:spPr>
        <a:xfrm>
          <a:off x="8934450" y="3838575"/>
          <a:ext cx="2786400" cy="748800"/>
        </a:xfrm>
        <a:prstGeom prst="rect">
          <a:avLst/>
        </a:prstGeom>
        <a:solidFill>
          <a:srgbClr val="9900FF">
            <a:alpha val="58039"/>
          </a:srgb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409575</xdr:colOff>
      <xdr:row>25</xdr:row>
      <xdr:rowOff>57150</xdr:rowOff>
    </xdr:from>
    <xdr:to>
      <xdr:col>19</xdr:col>
      <xdr:colOff>147975</xdr:colOff>
      <xdr:row>29</xdr:row>
      <xdr:rowOff>43950</xdr:rowOff>
    </xdr:to>
    <xdr:sp macro="" textlink="">
      <xdr:nvSpPr>
        <xdr:cNvPr id="42" name="Rectangle 41">
          <a:extLst>
            <a:ext uri="{FF2B5EF4-FFF2-40B4-BE49-F238E27FC236}">
              <a16:creationId xmlns:a16="http://schemas.microsoft.com/office/drawing/2014/main" id="{E9EAD12D-3A1E-4EFA-AA23-6C458AB2BA5C}"/>
            </a:ext>
          </a:extLst>
        </xdr:cNvPr>
        <xdr:cNvSpPr/>
      </xdr:nvSpPr>
      <xdr:spPr>
        <a:xfrm>
          <a:off x="8943975" y="4819650"/>
          <a:ext cx="2786400" cy="748800"/>
        </a:xfrm>
        <a:prstGeom prst="rect">
          <a:avLst/>
        </a:prstGeom>
        <a:solidFill>
          <a:srgbClr val="AC2E9D"/>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409575</xdr:colOff>
      <xdr:row>30</xdr:row>
      <xdr:rowOff>57150</xdr:rowOff>
    </xdr:from>
    <xdr:to>
      <xdr:col>19</xdr:col>
      <xdr:colOff>147975</xdr:colOff>
      <xdr:row>34</xdr:row>
      <xdr:rowOff>43950</xdr:rowOff>
    </xdr:to>
    <xdr:sp macro="" textlink="">
      <xdr:nvSpPr>
        <xdr:cNvPr id="43" name="Rectangle 42">
          <a:extLst>
            <a:ext uri="{FF2B5EF4-FFF2-40B4-BE49-F238E27FC236}">
              <a16:creationId xmlns:a16="http://schemas.microsoft.com/office/drawing/2014/main" id="{557EE4CE-0312-4902-97BC-0D98F4A78919}"/>
            </a:ext>
          </a:extLst>
        </xdr:cNvPr>
        <xdr:cNvSpPr/>
      </xdr:nvSpPr>
      <xdr:spPr>
        <a:xfrm>
          <a:off x="8943975" y="5772150"/>
          <a:ext cx="2786400" cy="748800"/>
        </a:xfrm>
        <a:prstGeom prst="rect">
          <a:avLst/>
        </a:prstGeom>
        <a:solidFill>
          <a:srgbClr val="CC0066">
            <a:alpha val="43922"/>
          </a:srgb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br>
            <a:rPr lang="en-IN" sz="1100"/>
          </a:br>
          <a:endParaRPr lang="en-IN" sz="1100"/>
        </a:p>
      </xdr:txBody>
    </xdr:sp>
    <xdr:clientData/>
  </xdr:twoCellAnchor>
  <xdr:twoCellAnchor>
    <xdr:from>
      <xdr:col>14</xdr:col>
      <xdr:colOff>381000</xdr:colOff>
      <xdr:row>10</xdr:row>
      <xdr:rowOff>0</xdr:rowOff>
    </xdr:from>
    <xdr:to>
      <xdr:col>19</xdr:col>
      <xdr:colOff>119400</xdr:colOff>
      <xdr:row>13</xdr:row>
      <xdr:rowOff>177300</xdr:rowOff>
    </xdr:to>
    <xdr:sp macro="" textlink="">
      <xdr:nvSpPr>
        <xdr:cNvPr id="44" name="Rectangle 43">
          <a:extLst>
            <a:ext uri="{FF2B5EF4-FFF2-40B4-BE49-F238E27FC236}">
              <a16:creationId xmlns:a16="http://schemas.microsoft.com/office/drawing/2014/main" id="{7429BDDA-A680-4DB1-AA60-0C53201D1495}"/>
            </a:ext>
          </a:extLst>
        </xdr:cNvPr>
        <xdr:cNvSpPr/>
      </xdr:nvSpPr>
      <xdr:spPr>
        <a:xfrm>
          <a:off x="8915400" y="1905000"/>
          <a:ext cx="2786400" cy="748800"/>
        </a:xfrm>
        <a:prstGeom prst="rect">
          <a:avLst/>
        </a:prstGeom>
        <a:solidFill>
          <a:schemeClr val="accent5">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18</xdr:col>
      <xdr:colOff>9525</xdr:colOff>
      <xdr:row>10</xdr:row>
      <xdr:rowOff>57150</xdr:rowOff>
    </xdr:from>
    <xdr:to>
      <xdr:col>19</xdr:col>
      <xdr:colOff>114300</xdr:colOff>
      <xdr:row>14</xdr:row>
      <xdr:rowOff>9525</xdr:rowOff>
    </xdr:to>
    <xdr:pic>
      <xdr:nvPicPr>
        <xdr:cNvPr id="50" name="Graphic 49" descr="Clock with solid fill">
          <a:extLst>
            <a:ext uri="{FF2B5EF4-FFF2-40B4-BE49-F238E27FC236}">
              <a16:creationId xmlns:a16="http://schemas.microsoft.com/office/drawing/2014/main" id="{4564134D-300F-40E9-51CD-04DDE6DE86C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0982325" y="1962150"/>
          <a:ext cx="714375" cy="714375"/>
        </a:xfrm>
        <a:prstGeom prst="rect">
          <a:avLst/>
        </a:prstGeom>
      </xdr:spPr>
    </xdr:pic>
    <xdr:clientData/>
  </xdr:twoCellAnchor>
  <xdr:twoCellAnchor editAs="oneCell">
    <xdr:from>
      <xdr:col>18</xdr:col>
      <xdr:colOff>85725</xdr:colOff>
      <xdr:row>5</xdr:row>
      <xdr:rowOff>114300</xdr:rowOff>
    </xdr:from>
    <xdr:to>
      <xdr:col>19</xdr:col>
      <xdr:colOff>38100</xdr:colOff>
      <xdr:row>8</xdr:row>
      <xdr:rowOff>104775</xdr:rowOff>
    </xdr:to>
    <xdr:pic>
      <xdr:nvPicPr>
        <xdr:cNvPr id="52" name="Graphic 51" descr="Group brainstorm with solid fill">
          <a:extLst>
            <a:ext uri="{FF2B5EF4-FFF2-40B4-BE49-F238E27FC236}">
              <a16:creationId xmlns:a16="http://schemas.microsoft.com/office/drawing/2014/main" id="{19372D01-4CB2-E9E4-E1DF-22B8EF54BF6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1058525" y="1066800"/>
          <a:ext cx="561975" cy="561975"/>
        </a:xfrm>
        <a:prstGeom prst="rect">
          <a:avLst/>
        </a:prstGeom>
      </xdr:spPr>
    </xdr:pic>
    <xdr:clientData/>
  </xdr:twoCellAnchor>
  <xdr:twoCellAnchor editAs="oneCell">
    <xdr:from>
      <xdr:col>17</xdr:col>
      <xdr:colOff>533400</xdr:colOff>
      <xdr:row>15</xdr:row>
      <xdr:rowOff>66676</xdr:rowOff>
    </xdr:from>
    <xdr:to>
      <xdr:col>19</xdr:col>
      <xdr:colOff>123825</xdr:colOff>
      <xdr:row>19</xdr:row>
      <xdr:rowOff>28576</xdr:rowOff>
    </xdr:to>
    <xdr:pic>
      <xdr:nvPicPr>
        <xdr:cNvPr id="54" name="Graphic 53" descr="Eye with solid fill">
          <a:extLst>
            <a:ext uri="{FF2B5EF4-FFF2-40B4-BE49-F238E27FC236}">
              <a16:creationId xmlns:a16="http://schemas.microsoft.com/office/drawing/2014/main" id="{C993D57C-1872-237C-3CEB-A223A9306E61}"/>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0896600" y="2924176"/>
          <a:ext cx="809625" cy="723900"/>
        </a:xfrm>
        <a:prstGeom prst="rect">
          <a:avLst/>
        </a:prstGeom>
      </xdr:spPr>
    </xdr:pic>
    <xdr:clientData/>
  </xdr:twoCellAnchor>
  <xdr:twoCellAnchor editAs="oneCell">
    <xdr:from>
      <xdr:col>18</xdr:col>
      <xdr:colOff>142875</xdr:colOff>
      <xdr:row>25</xdr:row>
      <xdr:rowOff>142875</xdr:rowOff>
    </xdr:from>
    <xdr:to>
      <xdr:col>19</xdr:col>
      <xdr:colOff>152400</xdr:colOff>
      <xdr:row>29</xdr:row>
      <xdr:rowOff>0</xdr:rowOff>
    </xdr:to>
    <xdr:pic>
      <xdr:nvPicPr>
        <xdr:cNvPr id="56" name="Graphic 55" descr="Document with solid fill">
          <a:extLst>
            <a:ext uri="{FF2B5EF4-FFF2-40B4-BE49-F238E27FC236}">
              <a16:creationId xmlns:a16="http://schemas.microsoft.com/office/drawing/2014/main" id="{A830D67B-9A9E-B65B-8C8B-5F9DE558880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1115675" y="4905375"/>
          <a:ext cx="619125" cy="619125"/>
        </a:xfrm>
        <a:prstGeom prst="rect">
          <a:avLst/>
        </a:prstGeom>
      </xdr:spPr>
    </xdr:pic>
    <xdr:clientData/>
  </xdr:twoCellAnchor>
  <xdr:twoCellAnchor editAs="oneCell">
    <xdr:from>
      <xdr:col>18</xdr:col>
      <xdr:colOff>76200</xdr:colOff>
      <xdr:row>20</xdr:row>
      <xdr:rowOff>171450</xdr:rowOff>
    </xdr:from>
    <xdr:to>
      <xdr:col>19</xdr:col>
      <xdr:colOff>69631</xdr:colOff>
      <xdr:row>23</xdr:row>
      <xdr:rowOff>114300</xdr:rowOff>
    </xdr:to>
    <xdr:pic>
      <xdr:nvPicPr>
        <xdr:cNvPr id="58" name="Graphic 57" descr="Warning with solid fill">
          <a:extLst>
            <a:ext uri="{FF2B5EF4-FFF2-40B4-BE49-F238E27FC236}">
              <a16:creationId xmlns:a16="http://schemas.microsoft.com/office/drawing/2014/main" id="{EF91CBDB-139E-C210-6D82-0C1CC8617A1C}"/>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1049000" y="3981450"/>
          <a:ext cx="603031" cy="514350"/>
        </a:xfrm>
        <a:prstGeom prst="rect">
          <a:avLst/>
        </a:prstGeom>
      </xdr:spPr>
    </xdr:pic>
    <xdr:clientData/>
  </xdr:twoCellAnchor>
  <xdr:twoCellAnchor editAs="oneCell">
    <xdr:from>
      <xdr:col>18</xdr:col>
      <xdr:colOff>95250</xdr:colOff>
      <xdr:row>30</xdr:row>
      <xdr:rowOff>171450</xdr:rowOff>
    </xdr:from>
    <xdr:to>
      <xdr:col>19</xdr:col>
      <xdr:colOff>95250</xdr:colOff>
      <xdr:row>34</xdr:row>
      <xdr:rowOff>19050</xdr:rowOff>
    </xdr:to>
    <xdr:pic>
      <xdr:nvPicPr>
        <xdr:cNvPr id="60" name="Graphic 59" descr="Bar graph with upward trend with solid fill">
          <a:extLst>
            <a:ext uri="{FF2B5EF4-FFF2-40B4-BE49-F238E27FC236}">
              <a16:creationId xmlns:a16="http://schemas.microsoft.com/office/drawing/2014/main" id="{151A9F2F-12DA-E87F-2E7F-AAFE0961D86D}"/>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1068050" y="5886450"/>
          <a:ext cx="609600" cy="609600"/>
        </a:xfrm>
        <a:prstGeom prst="rect">
          <a:avLst/>
        </a:prstGeom>
      </xdr:spPr>
    </xdr:pic>
    <xdr:clientData/>
  </xdr:twoCellAnchor>
  <xdr:twoCellAnchor>
    <xdr:from>
      <xdr:col>15</xdr:col>
      <xdr:colOff>228600</xdr:colOff>
      <xdr:row>5</xdr:row>
      <xdr:rowOff>114300</xdr:rowOff>
    </xdr:from>
    <xdr:to>
      <xdr:col>16</xdr:col>
      <xdr:colOff>504825</xdr:colOff>
      <xdr:row>7</xdr:row>
      <xdr:rowOff>19050</xdr:rowOff>
    </xdr:to>
    <xdr:sp macro="" textlink="Pivort!B3">
      <xdr:nvSpPr>
        <xdr:cNvPr id="61" name="TextBox 60">
          <a:extLst>
            <a:ext uri="{FF2B5EF4-FFF2-40B4-BE49-F238E27FC236}">
              <a16:creationId xmlns:a16="http://schemas.microsoft.com/office/drawing/2014/main" id="{A93EB4B7-3C28-7F67-85BB-54727076D248}"/>
            </a:ext>
          </a:extLst>
        </xdr:cNvPr>
        <xdr:cNvSpPr txBox="1"/>
      </xdr:nvSpPr>
      <xdr:spPr>
        <a:xfrm>
          <a:off x="9372600" y="1066800"/>
          <a:ext cx="8858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B55C566-C0E2-4B2E-A696-08C0698AA871}" type="TxLink">
            <a:rPr lang="en-US" sz="1800" b="1" i="0" u="none" strike="noStrike">
              <a:solidFill>
                <a:schemeClr val="bg1"/>
              </a:solidFill>
              <a:latin typeface="Aptos Narrow"/>
            </a:rPr>
            <a:pPr/>
            <a:t>10632</a:t>
          </a:fld>
          <a:endParaRPr lang="en-US" sz="1800" b="1">
            <a:solidFill>
              <a:schemeClr val="bg1"/>
            </a:solidFill>
          </a:endParaRPr>
        </a:p>
      </xdr:txBody>
    </xdr:sp>
    <xdr:clientData/>
  </xdr:twoCellAnchor>
  <xdr:twoCellAnchor>
    <xdr:from>
      <xdr:col>15</xdr:col>
      <xdr:colOff>257175</xdr:colOff>
      <xdr:row>6</xdr:row>
      <xdr:rowOff>171450</xdr:rowOff>
    </xdr:from>
    <xdr:to>
      <xdr:col>16</xdr:col>
      <xdr:colOff>533400</xdr:colOff>
      <xdr:row>8</xdr:row>
      <xdr:rowOff>76200</xdr:rowOff>
    </xdr:to>
    <xdr:sp macro="" textlink="">
      <xdr:nvSpPr>
        <xdr:cNvPr id="63" name="TextBox 62">
          <a:extLst>
            <a:ext uri="{FF2B5EF4-FFF2-40B4-BE49-F238E27FC236}">
              <a16:creationId xmlns:a16="http://schemas.microsoft.com/office/drawing/2014/main" id="{366E2445-B3F1-453E-AB18-34A650E57809}"/>
            </a:ext>
          </a:extLst>
        </xdr:cNvPr>
        <xdr:cNvSpPr txBox="1"/>
      </xdr:nvSpPr>
      <xdr:spPr>
        <a:xfrm>
          <a:off x="9401175" y="1314450"/>
          <a:ext cx="8858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1" u="none" strike="noStrike">
              <a:solidFill>
                <a:schemeClr val="bg1"/>
              </a:solidFill>
              <a:latin typeface="Aptos Narrow"/>
            </a:rPr>
            <a:t>Visit</a:t>
          </a:r>
        </a:p>
        <a:p>
          <a:endParaRPr lang="en-US" sz="1800" b="1" i="0" u="none" strike="noStrike">
            <a:solidFill>
              <a:schemeClr val="bg1"/>
            </a:solidFill>
            <a:latin typeface="Aptos Narrow"/>
          </a:endParaRPr>
        </a:p>
      </xdr:txBody>
    </xdr:sp>
    <xdr:clientData/>
  </xdr:twoCellAnchor>
  <xdr:twoCellAnchor>
    <xdr:from>
      <xdr:col>14</xdr:col>
      <xdr:colOff>381000</xdr:colOff>
      <xdr:row>10</xdr:row>
      <xdr:rowOff>0</xdr:rowOff>
    </xdr:from>
    <xdr:to>
      <xdr:col>16</xdr:col>
      <xdr:colOff>47625</xdr:colOff>
      <xdr:row>11</xdr:row>
      <xdr:rowOff>95250</xdr:rowOff>
    </xdr:to>
    <xdr:sp macro="" textlink="Pivort!B3">
      <xdr:nvSpPr>
        <xdr:cNvPr id="64" name="TextBox 63">
          <a:extLst>
            <a:ext uri="{FF2B5EF4-FFF2-40B4-BE49-F238E27FC236}">
              <a16:creationId xmlns:a16="http://schemas.microsoft.com/office/drawing/2014/main" id="{D85A64DB-BCF4-4A64-8F92-FF2F7B85B4E3}"/>
            </a:ext>
          </a:extLst>
        </xdr:cNvPr>
        <xdr:cNvSpPr txBox="1"/>
      </xdr:nvSpPr>
      <xdr:spPr>
        <a:xfrm>
          <a:off x="8915400" y="1905000"/>
          <a:ext cx="8858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800" b="1">
            <a:solidFill>
              <a:schemeClr val="bg1"/>
            </a:solidFill>
          </a:endParaRPr>
        </a:p>
      </xdr:txBody>
    </xdr:sp>
    <xdr:clientData/>
  </xdr:twoCellAnchor>
  <xdr:twoCellAnchor>
    <xdr:from>
      <xdr:col>15</xdr:col>
      <xdr:colOff>133350</xdr:colOff>
      <xdr:row>10</xdr:row>
      <xdr:rowOff>38100</xdr:rowOff>
    </xdr:from>
    <xdr:to>
      <xdr:col>16</xdr:col>
      <xdr:colOff>409575</xdr:colOff>
      <xdr:row>11</xdr:row>
      <xdr:rowOff>133350</xdr:rowOff>
    </xdr:to>
    <xdr:sp macro="" textlink="Pivort!B3">
      <xdr:nvSpPr>
        <xdr:cNvPr id="65" name="TextBox 64">
          <a:extLst>
            <a:ext uri="{FF2B5EF4-FFF2-40B4-BE49-F238E27FC236}">
              <a16:creationId xmlns:a16="http://schemas.microsoft.com/office/drawing/2014/main" id="{64F4F66B-67A1-41B3-9926-798D8A4C5E8A}"/>
            </a:ext>
          </a:extLst>
        </xdr:cNvPr>
        <xdr:cNvSpPr txBox="1"/>
      </xdr:nvSpPr>
      <xdr:spPr>
        <a:xfrm>
          <a:off x="9277350" y="1943100"/>
          <a:ext cx="8858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800" b="1">
            <a:solidFill>
              <a:schemeClr val="bg1"/>
            </a:solidFill>
          </a:endParaRPr>
        </a:p>
      </xdr:txBody>
    </xdr:sp>
    <xdr:clientData/>
  </xdr:twoCellAnchor>
  <xdr:twoCellAnchor>
    <xdr:from>
      <xdr:col>15</xdr:col>
      <xdr:colOff>85725</xdr:colOff>
      <xdr:row>10</xdr:row>
      <xdr:rowOff>76200</xdr:rowOff>
    </xdr:from>
    <xdr:to>
      <xdr:col>16</xdr:col>
      <xdr:colOff>361950</xdr:colOff>
      <xdr:row>11</xdr:row>
      <xdr:rowOff>171450</xdr:rowOff>
    </xdr:to>
    <xdr:sp macro="" textlink="">
      <xdr:nvSpPr>
        <xdr:cNvPr id="66" name="TextBox 65">
          <a:extLst>
            <a:ext uri="{FF2B5EF4-FFF2-40B4-BE49-F238E27FC236}">
              <a16:creationId xmlns:a16="http://schemas.microsoft.com/office/drawing/2014/main" id="{D2D2789B-DB99-4AF8-BC25-FB4C1E9FC557}"/>
            </a:ext>
          </a:extLst>
        </xdr:cNvPr>
        <xdr:cNvSpPr txBox="1"/>
      </xdr:nvSpPr>
      <xdr:spPr>
        <a:xfrm>
          <a:off x="9229725" y="1981200"/>
          <a:ext cx="8858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0.86</a:t>
          </a:r>
        </a:p>
      </xdr:txBody>
    </xdr:sp>
    <xdr:clientData/>
  </xdr:twoCellAnchor>
  <xdr:twoCellAnchor>
    <xdr:from>
      <xdr:col>15</xdr:col>
      <xdr:colOff>76200</xdr:colOff>
      <xdr:row>11</xdr:row>
      <xdr:rowOff>171450</xdr:rowOff>
    </xdr:from>
    <xdr:to>
      <xdr:col>18</xdr:col>
      <xdr:colOff>190500</xdr:colOff>
      <xdr:row>14</xdr:row>
      <xdr:rowOff>66676</xdr:rowOff>
    </xdr:to>
    <xdr:sp macro="" textlink="">
      <xdr:nvSpPr>
        <xdr:cNvPr id="67" name="TextBox 66">
          <a:extLst>
            <a:ext uri="{FF2B5EF4-FFF2-40B4-BE49-F238E27FC236}">
              <a16:creationId xmlns:a16="http://schemas.microsoft.com/office/drawing/2014/main" id="{756F76D5-E222-4FA6-BF95-49BC7CDD194A}"/>
            </a:ext>
          </a:extLst>
        </xdr:cNvPr>
        <xdr:cNvSpPr txBox="1"/>
      </xdr:nvSpPr>
      <xdr:spPr>
        <a:xfrm>
          <a:off x="9220200" y="2266950"/>
          <a:ext cx="1943100" cy="4667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1" u="none" strike="noStrike">
              <a:solidFill>
                <a:schemeClr val="bg1"/>
              </a:solidFill>
              <a:latin typeface="Aptos Narrow"/>
            </a:rPr>
            <a:t>Avg</a:t>
          </a:r>
          <a:r>
            <a:rPr lang="en-US" sz="1200" b="1" i="1" u="none" strike="noStrike" baseline="0">
              <a:solidFill>
                <a:schemeClr val="bg1"/>
              </a:solidFill>
              <a:latin typeface="Aptos Narrow"/>
            </a:rPr>
            <a:t> Session Duration</a:t>
          </a:r>
          <a:endParaRPr lang="en-US" sz="1200" b="1" i="1" u="none" strike="noStrike">
            <a:solidFill>
              <a:schemeClr val="bg1"/>
            </a:solidFill>
            <a:latin typeface="Aptos Narrow"/>
          </a:endParaRPr>
        </a:p>
      </xdr:txBody>
    </xdr:sp>
    <xdr:clientData/>
  </xdr:twoCellAnchor>
  <xdr:twoCellAnchor>
    <xdr:from>
      <xdr:col>15</xdr:col>
      <xdr:colOff>533399</xdr:colOff>
      <xdr:row>10</xdr:row>
      <xdr:rowOff>76200</xdr:rowOff>
    </xdr:from>
    <xdr:to>
      <xdr:col>17</xdr:col>
      <xdr:colOff>47624</xdr:colOff>
      <xdr:row>11</xdr:row>
      <xdr:rowOff>180975</xdr:rowOff>
    </xdr:to>
    <xdr:sp macro="" textlink="">
      <xdr:nvSpPr>
        <xdr:cNvPr id="68" name="TextBox 67">
          <a:extLst>
            <a:ext uri="{FF2B5EF4-FFF2-40B4-BE49-F238E27FC236}">
              <a16:creationId xmlns:a16="http://schemas.microsoft.com/office/drawing/2014/main" id="{ED1BBB35-4478-772D-55CF-E4482439744A}"/>
            </a:ext>
          </a:extLst>
        </xdr:cNvPr>
        <xdr:cNvSpPr txBox="1"/>
      </xdr:nvSpPr>
      <xdr:spPr>
        <a:xfrm>
          <a:off x="9677399" y="1981200"/>
          <a:ext cx="7334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rPr>
            <a:t>Sec</a:t>
          </a:r>
        </a:p>
      </xdr:txBody>
    </xdr:sp>
    <xdr:clientData/>
  </xdr:twoCellAnchor>
  <xdr:twoCellAnchor>
    <xdr:from>
      <xdr:col>15</xdr:col>
      <xdr:colOff>133350</xdr:colOff>
      <xdr:row>15</xdr:row>
      <xdr:rowOff>133350</xdr:rowOff>
    </xdr:from>
    <xdr:to>
      <xdr:col>16</xdr:col>
      <xdr:colOff>171450</xdr:colOff>
      <xdr:row>17</xdr:row>
      <xdr:rowOff>95250</xdr:rowOff>
    </xdr:to>
    <xdr:sp macro="" textlink="Pivort!B5">
      <xdr:nvSpPr>
        <xdr:cNvPr id="69" name="TextBox 68">
          <a:extLst>
            <a:ext uri="{FF2B5EF4-FFF2-40B4-BE49-F238E27FC236}">
              <a16:creationId xmlns:a16="http://schemas.microsoft.com/office/drawing/2014/main" id="{D13A3D4A-3B9E-795F-378B-003A0835E2FD}"/>
            </a:ext>
          </a:extLst>
        </xdr:cNvPr>
        <xdr:cNvSpPr txBox="1"/>
      </xdr:nvSpPr>
      <xdr:spPr>
        <a:xfrm>
          <a:off x="9277350" y="2990850"/>
          <a:ext cx="6477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285ADFA-3BDD-4457-8623-F7E83EE0E529}" type="TxLink">
            <a:rPr lang="en-US" sz="1800" b="1" i="0" u="none" strike="noStrike">
              <a:solidFill>
                <a:schemeClr val="bg1"/>
              </a:solidFill>
              <a:latin typeface="Aptos Narrow"/>
            </a:rPr>
            <a:pPr/>
            <a:t>3.48255814</a:t>
          </a:fld>
          <a:endParaRPr lang="en-IN" sz="1800" b="1">
            <a:solidFill>
              <a:schemeClr val="bg1"/>
            </a:solidFill>
          </a:endParaRPr>
        </a:p>
      </xdr:txBody>
    </xdr:sp>
    <xdr:clientData/>
  </xdr:twoCellAnchor>
  <xdr:twoCellAnchor>
    <xdr:from>
      <xdr:col>15</xdr:col>
      <xdr:colOff>123825</xdr:colOff>
      <xdr:row>17</xdr:row>
      <xdr:rowOff>9525</xdr:rowOff>
    </xdr:from>
    <xdr:to>
      <xdr:col>16</xdr:col>
      <xdr:colOff>209550</xdr:colOff>
      <xdr:row>18</xdr:row>
      <xdr:rowOff>85725</xdr:rowOff>
    </xdr:to>
    <xdr:sp macro="" textlink="">
      <xdr:nvSpPr>
        <xdr:cNvPr id="70" name="TextBox 69">
          <a:extLst>
            <a:ext uri="{FF2B5EF4-FFF2-40B4-BE49-F238E27FC236}">
              <a16:creationId xmlns:a16="http://schemas.microsoft.com/office/drawing/2014/main" id="{4216B129-4C65-3AB5-176E-A9D7994FF896}"/>
            </a:ext>
          </a:extLst>
        </xdr:cNvPr>
        <xdr:cNvSpPr txBox="1"/>
      </xdr:nvSpPr>
      <xdr:spPr>
        <a:xfrm>
          <a:off x="9267825" y="3248025"/>
          <a:ext cx="6953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i="1">
              <a:solidFill>
                <a:schemeClr val="bg1"/>
              </a:solidFill>
            </a:rPr>
            <a:t>Per Visit</a:t>
          </a:r>
        </a:p>
      </xdr:txBody>
    </xdr:sp>
    <xdr:clientData/>
  </xdr:twoCellAnchor>
  <xdr:twoCellAnchor>
    <xdr:from>
      <xdr:col>15</xdr:col>
      <xdr:colOff>123825</xdr:colOff>
      <xdr:row>20</xdr:row>
      <xdr:rowOff>123825</xdr:rowOff>
    </xdr:from>
    <xdr:to>
      <xdr:col>16</xdr:col>
      <xdr:colOff>466725</xdr:colOff>
      <xdr:row>22</xdr:row>
      <xdr:rowOff>85725</xdr:rowOff>
    </xdr:to>
    <xdr:sp macro="" textlink="Pivort!B6">
      <xdr:nvSpPr>
        <xdr:cNvPr id="71" name="TextBox 70">
          <a:extLst>
            <a:ext uri="{FF2B5EF4-FFF2-40B4-BE49-F238E27FC236}">
              <a16:creationId xmlns:a16="http://schemas.microsoft.com/office/drawing/2014/main" id="{C3347BAC-FC0D-7E14-11AA-A6632BD72023}"/>
            </a:ext>
          </a:extLst>
        </xdr:cNvPr>
        <xdr:cNvSpPr txBox="1"/>
      </xdr:nvSpPr>
      <xdr:spPr>
        <a:xfrm>
          <a:off x="9267825" y="3933825"/>
          <a:ext cx="9525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9826F9A-759B-45B1-8EC6-4AE3112AA9EA}" type="TxLink">
            <a:rPr lang="en-US" sz="1800" b="1" i="0" u="none" strike="noStrike">
              <a:solidFill>
                <a:schemeClr val="bg1"/>
              </a:solidFill>
              <a:latin typeface="Aptos Narrow"/>
            </a:rPr>
            <a:pPr/>
            <a:t>97%</a:t>
          </a:fld>
          <a:endParaRPr lang="en-IN" sz="1800" b="1">
            <a:solidFill>
              <a:schemeClr val="bg1"/>
            </a:solidFill>
          </a:endParaRPr>
        </a:p>
      </xdr:txBody>
    </xdr:sp>
    <xdr:clientData/>
  </xdr:twoCellAnchor>
  <xdr:twoCellAnchor>
    <xdr:from>
      <xdr:col>15</xdr:col>
      <xdr:colOff>104775</xdr:colOff>
      <xdr:row>21</xdr:row>
      <xdr:rowOff>161925</xdr:rowOff>
    </xdr:from>
    <xdr:to>
      <xdr:col>16</xdr:col>
      <xdr:colOff>495300</xdr:colOff>
      <xdr:row>22</xdr:row>
      <xdr:rowOff>180975</xdr:rowOff>
    </xdr:to>
    <xdr:sp macro="" textlink="">
      <xdr:nvSpPr>
        <xdr:cNvPr id="72" name="TextBox 71">
          <a:extLst>
            <a:ext uri="{FF2B5EF4-FFF2-40B4-BE49-F238E27FC236}">
              <a16:creationId xmlns:a16="http://schemas.microsoft.com/office/drawing/2014/main" id="{F988A754-8478-E6F3-2005-FC8B27CC7BC1}"/>
            </a:ext>
          </a:extLst>
        </xdr:cNvPr>
        <xdr:cNvSpPr txBox="1"/>
      </xdr:nvSpPr>
      <xdr:spPr>
        <a:xfrm>
          <a:off x="9248775" y="4162425"/>
          <a:ext cx="1000125"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i="1" u="none" strike="noStrike">
              <a:solidFill>
                <a:schemeClr val="bg1"/>
              </a:solidFill>
              <a:effectLst/>
              <a:latin typeface="+mn-lt"/>
              <a:ea typeface="+mn-ea"/>
              <a:cs typeface="+mn-cs"/>
            </a:rPr>
            <a:t>Bounce Rate</a:t>
          </a:r>
          <a:r>
            <a:rPr lang="en-IN" sz="1200" b="1" i="1">
              <a:solidFill>
                <a:schemeClr val="bg1"/>
              </a:solidFill>
              <a:effectLst/>
            </a:rPr>
            <a:t> </a:t>
          </a:r>
          <a:endParaRPr lang="en-IN" sz="1200" b="1" i="1">
            <a:solidFill>
              <a:schemeClr val="bg1"/>
            </a:solidFill>
          </a:endParaRPr>
        </a:p>
      </xdr:txBody>
    </xdr:sp>
    <xdr:clientData/>
  </xdr:twoCellAnchor>
  <xdr:twoCellAnchor>
    <xdr:from>
      <xdr:col>15</xdr:col>
      <xdr:colOff>85725</xdr:colOff>
      <xdr:row>25</xdr:row>
      <xdr:rowOff>180975</xdr:rowOff>
    </xdr:from>
    <xdr:to>
      <xdr:col>17</xdr:col>
      <xdr:colOff>152400</xdr:colOff>
      <xdr:row>28</xdr:row>
      <xdr:rowOff>9525</xdr:rowOff>
    </xdr:to>
    <xdr:sp macro="" textlink="Pivort!B7">
      <xdr:nvSpPr>
        <xdr:cNvPr id="73" name="TextBox 72">
          <a:extLst>
            <a:ext uri="{FF2B5EF4-FFF2-40B4-BE49-F238E27FC236}">
              <a16:creationId xmlns:a16="http://schemas.microsoft.com/office/drawing/2014/main" id="{BF1CFC98-92FB-C150-2CF2-F83DC58BBC6D}"/>
            </a:ext>
          </a:extLst>
        </xdr:cNvPr>
        <xdr:cNvSpPr txBox="1"/>
      </xdr:nvSpPr>
      <xdr:spPr>
        <a:xfrm>
          <a:off x="9229725" y="4943475"/>
          <a:ext cx="1285875"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8B5062B-EFFD-4838-B693-4A8D750DE9D4}" type="TxLink">
            <a:rPr lang="en-US" sz="1800" b="1" i="0" u="none" strike="noStrike">
              <a:solidFill>
                <a:schemeClr val="bg1"/>
              </a:solidFill>
              <a:latin typeface="Aptos Narrow"/>
            </a:rPr>
            <a:pPr/>
            <a:t>9351</a:t>
          </a:fld>
          <a:endParaRPr lang="en-IN" sz="1800" b="1">
            <a:solidFill>
              <a:schemeClr val="bg1"/>
            </a:solidFill>
          </a:endParaRPr>
        </a:p>
      </xdr:txBody>
    </xdr:sp>
    <xdr:clientData/>
  </xdr:twoCellAnchor>
  <xdr:twoCellAnchor>
    <xdr:from>
      <xdr:col>15</xdr:col>
      <xdr:colOff>76200</xdr:colOff>
      <xdr:row>27</xdr:row>
      <xdr:rowOff>38101</xdr:rowOff>
    </xdr:from>
    <xdr:to>
      <xdr:col>16</xdr:col>
      <xdr:colOff>447675</xdr:colOff>
      <xdr:row>28</xdr:row>
      <xdr:rowOff>76201</xdr:rowOff>
    </xdr:to>
    <xdr:sp macro="" textlink="">
      <xdr:nvSpPr>
        <xdr:cNvPr id="74" name="TextBox 73">
          <a:extLst>
            <a:ext uri="{FF2B5EF4-FFF2-40B4-BE49-F238E27FC236}">
              <a16:creationId xmlns:a16="http://schemas.microsoft.com/office/drawing/2014/main" id="{801E2EDE-CF7F-0607-2315-015C84541451}"/>
            </a:ext>
          </a:extLst>
        </xdr:cNvPr>
        <xdr:cNvSpPr txBox="1"/>
      </xdr:nvSpPr>
      <xdr:spPr>
        <a:xfrm>
          <a:off x="9220200" y="5181601"/>
          <a:ext cx="98107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i="1" u="none" strike="noStrike">
              <a:solidFill>
                <a:schemeClr val="bg1"/>
              </a:solidFill>
              <a:effectLst/>
              <a:latin typeface="+mn-lt"/>
              <a:ea typeface="+mn-ea"/>
              <a:cs typeface="+mn-cs"/>
            </a:rPr>
            <a:t>Page views</a:t>
          </a:r>
          <a:r>
            <a:rPr lang="en-IN" sz="1200" b="1" i="1">
              <a:solidFill>
                <a:schemeClr val="bg1"/>
              </a:solidFill>
              <a:effectLst/>
            </a:rPr>
            <a:t> </a:t>
          </a:r>
          <a:endParaRPr lang="en-IN" sz="1200" b="1" i="1">
            <a:solidFill>
              <a:schemeClr val="bg1"/>
            </a:solidFill>
          </a:endParaRPr>
        </a:p>
      </xdr:txBody>
    </xdr:sp>
    <xdr:clientData/>
  </xdr:twoCellAnchor>
  <xdr:twoCellAnchor>
    <xdr:from>
      <xdr:col>15</xdr:col>
      <xdr:colOff>95250</xdr:colOff>
      <xdr:row>30</xdr:row>
      <xdr:rowOff>123825</xdr:rowOff>
    </xdr:from>
    <xdr:to>
      <xdr:col>17</xdr:col>
      <xdr:colOff>95250</xdr:colOff>
      <xdr:row>32</xdr:row>
      <xdr:rowOff>76200</xdr:rowOff>
    </xdr:to>
    <xdr:sp macro="" textlink="Pivort!B8">
      <xdr:nvSpPr>
        <xdr:cNvPr id="75" name="TextBox 74">
          <a:extLst>
            <a:ext uri="{FF2B5EF4-FFF2-40B4-BE49-F238E27FC236}">
              <a16:creationId xmlns:a16="http://schemas.microsoft.com/office/drawing/2014/main" id="{C9FA1CCB-3AA6-8CC5-CF67-90972ED269AD}"/>
            </a:ext>
          </a:extLst>
        </xdr:cNvPr>
        <xdr:cNvSpPr txBox="1"/>
      </xdr:nvSpPr>
      <xdr:spPr>
        <a:xfrm>
          <a:off x="9239250" y="5838825"/>
          <a:ext cx="121920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BD774E3-2925-4B8E-AE23-3860C1B7C9BA}" type="TxLink">
            <a:rPr lang="en-US" sz="1800" b="1" i="0" u="none" strike="noStrike">
              <a:solidFill>
                <a:schemeClr val="bg1"/>
              </a:solidFill>
              <a:latin typeface="Aptos Narrow"/>
            </a:rPr>
            <a:pPr/>
            <a:t>21%</a:t>
          </a:fld>
          <a:endParaRPr lang="en-IN" sz="1800" b="1">
            <a:solidFill>
              <a:schemeClr val="bg1"/>
            </a:solidFill>
          </a:endParaRPr>
        </a:p>
      </xdr:txBody>
    </xdr:sp>
    <xdr:clientData/>
  </xdr:twoCellAnchor>
  <xdr:twoCellAnchor>
    <xdr:from>
      <xdr:col>15</xdr:col>
      <xdr:colOff>76200</xdr:colOff>
      <xdr:row>31</xdr:row>
      <xdr:rowOff>171450</xdr:rowOff>
    </xdr:from>
    <xdr:to>
      <xdr:col>17</xdr:col>
      <xdr:colOff>161925</xdr:colOff>
      <xdr:row>33</xdr:row>
      <xdr:rowOff>76200</xdr:rowOff>
    </xdr:to>
    <xdr:sp macro="" textlink="">
      <xdr:nvSpPr>
        <xdr:cNvPr id="76" name="TextBox 75">
          <a:extLst>
            <a:ext uri="{FF2B5EF4-FFF2-40B4-BE49-F238E27FC236}">
              <a16:creationId xmlns:a16="http://schemas.microsoft.com/office/drawing/2014/main" id="{23A54317-8094-BD19-D032-2D2FE8355591}"/>
            </a:ext>
          </a:extLst>
        </xdr:cNvPr>
        <xdr:cNvSpPr txBox="1"/>
      </xdr:nvSpPr>
      <xdr:spPr>
        <a:xfrm>
          <a:off x="9220200" y="6076950"/>
          <a:ext cx="13049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i="1" u="none" strike="noStrike">
              <a:solidFill>
                <a:schemeClr val="bg1"/>
              </a:solidFill>
              <a:effectLst/>
              <a:latin typeface="+mn-lt"/>
              <a:ea typeface="+mn-ea"/>
              <a:cs typeface="+mn-cs"/>
            </a:rPr>
            <a:t>Goal conversion</a:t>
          </a:r>
          <a:r>
            <a:rPr lang="en-IN" sz="1200" b="1" i="1">
              <a:solidFill>
                <a:schemeClr val="bg1"/>
              </a:solidFill>
              <a:effectLst/>
            </a:rPr>
            <a:t> </a:t>
          </a:r>
          <a:endParaRPr lang="en-IN" sz="1200" b="1" i="1">
            <a:solidFill>
              <a:schemeClr val="bg1"/>
            </a:solidFill>
          </a:endParaRPr>
        </a:p>
      </xdr:txBody>
    </xdr:sp>
    <xdr:clientData/>
  </xdr:twoCellAnchor>
  <xdr:twoCellAnchor>
    <xdr:from>
      <xdr:col>0</xdr:col>
      <xdr:colOff>457200</xdr:colOff>
      <xdr:row>5</xdr:row>
      <xdr:rowOff>142875</xdr:rowOff>
    </xdr:from>
    <xdr:to>
      <xdr:col>4</xdr:col>
      <xdr:colOff>561975</xdr:colOff>
      <xdr:row>15</xdr:row>
      <xdr:rowOff>9525</xdr:rowOff>
    </xdr:to>
    <xdr:graphicFrame macro="">
      <xdr:nvGraphicFramePr>
        <xdr:cNvPr id="77" name="Chart 76">
          <a:extLst>
            <a:ext uri="{FF2B5EF4-FFF2-40B4-BE49-F238E27FC236}">
              <a16:creationId xmlns:a16="http://schemas.microsoft.com/office/drawing/2014/main" id="{F5DFFAE8-174A-486D-9E94-84DC4424F9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0</xdr:col>
      <xdr:colOff>447675</xdr:colOff>
      <xdr:row>5</xdr:row>
      <xdr:rowOff>47625</xdr:rowOff>
    </xdr:from>
    <xdr:to>
      <xdr:col>4</xdr:col>
      <xdr:colOff>428625</xdr:colOff>
      <xdr:row>6</xdr:row>
      <xdr:rowOff>123825</xdr:rowOff>
    </xdr:to>
    <xdr:sp macro="" textlink="">
      <xdr:nvSpPr>
        <xdr:cNvPr id="78" name="TextBox 77">
          <a:extLst>
            <a:ext uri="{FF2B5EF4-FFF2-40B4-BE49-F238E27FC236}">
              <a16:creationId xmlns:a16="http://schemas.microsoft.com/office/drawing/2014/main" id="{70F400A3-971C-4863-F6B4-4497738FE2DA}"/>
            </a:ext>
          </a:extLst>
        </xdr:cNvPr>
        <xdr:cNvSpPr txBox="1"/>
      </xdr:nvSpPr>
      <xdr:spPr>
        <a:xfrm>
          <a:off x="447675" y="1000125"/>
          <a:ext cx="24193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latin typeface="Calibri" panose="020F0502020204030204" pitchFamily="34" charset="0"/>
              <a:cs typeface="Calibri" panose="020F0502020204030204" pitchFamily="34" charset="0"/>
            </a:rPr>
            <a:t>Traffic Sources % by Visitors Count</a:t>
          </a:r>
        </a:p>
      </xdr:txBody>
    </xdr:sp>
    <xdr:clientData/>
  </xdr:twoCellAnchor>
  <xdr:twoCellAnchor>
    <xdr:from>
      <xdr:col>5</xdr:col>
      <xdr:colOff>190500</xdr:colOff>
      <xdr:row>6</xdr:row>
      <xdr:rowOff>47625</xdr:rowOff>
    </xdr:from>
    <xdr:to>
      <xdr:col>8</xdr:col>
      <xdr:colOff>304800</xdr:colOff>
      <xdr:row>14</xdr:row>
      <xdr:rowOff>38100</xdr:rowOff>
    </xdr:to>
    <xdr:graphicFrame macro="">
      <xdr:nvGraphicFramePr>
        <xdr:cNvPr id="79" name="Chart 78">
          <a:extLst>
            <a:ext uri="{FF2B5EF4-FFF2-40B4-BE49-F238E27FC236}">
              <a16:creationId xmlns:a16="http://schemas.microsoft.com/office/drawing/2014/main" id="{5ABD3637-650A-4023-AC67-F7956018DD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oneCellAnchor>
    <xdr:from>
      <xdr:col>7</xdr:col>
      <xdr:colOff>333375</xdr:colOff>
      <xdr:row>9</xdr:row>
      <xdr:rowOff>123825</xdr:rowOff>
    </xdr:from>
    <xdr:ext cx="184731" cy="264560"/>
    <xdr:sp macro="" textlink="">
      <xdr:nvSpPr>
        <xdr:cNvPr id="80" name="TextBox 79">
          <a:extLst>
            <a:ext uri="{FF2B5EF4-FFF2-40B4-BE49-F238E27FC236}">
              <a16:creationId xmlns:a16="http://schemas.microsoft.com/office/drawing/2014/main" id="{2B7DDA07-6764-081A-9683-6B8DBAE7CE29}"/>
            </a:ext>
          </a:extLst>
        </xdr:cNvPr>
        <xdr:cNvSpPr txBox="1"/>
      </xdr:nvSpPr>
      <xdr:spPr>
        <a:xfrm>
          <a:off x="4600575" y="18383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5</xdr:col>
      <xdr:colOff>257175</xdr:colOff>
      <xdr:row>5</xdr:row>
      <xdr:rowOff>28574</xdr:rowOff>
    </xdr:from>
    <xdr:to>
      <xdr:col>8</xdr:col>
      <xdr:colOff>314325</xdr:colOff>
      <xdr:row>6</xdr:row>
      <xdr:rowOff>95249</xdr:rowOff>
    </xdr:to>
    <xdr:sp macro="" textlink="">
      <xdr:nvSpPr>
        <xdr:cNvPr id="81" name="TextBox 80">
          <a:extLst>
            <a:ext uri="{FF2B5EF4-FFF2-40B4-BE49-F238E27FC236}">
              <a16:creationId xmlns:a16="http://schemas.microsoft.com/office/drawing/2014/main" id="{A90A7CB7-A4F4-B1E5-4D0D-7CDD8BBB5BBF}"/>
            </a:ext>
          </a:extLst>
        </xdr:cNvPr>
        <xdr:cNvSpPr txBox="1"/>
      </xdr:nvSpPr>
      <xdr:spPr>
        <a:xfrm>
          <a:off x="3305175" y="981074"/>
          <a:ext cx="188595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latin typeface="Calibri" panose="020F0502020204030204" pitchFamily="34" charset="0"/>
              <a:cs typeface="Calibri" panose="020F0502020204030204" pitchFamily="34" charset="0"/>
            </a:rPr>
            <a:t>Visits by Traffic </a:t>
          </a:r>
          <a:r>
            <a:rPr lang="en-US" sz="1100" b="1">
              <a:latin typeface="Calibri" panose="020F0502020204030204" pitchFamily="34" charset="0"/>
              <a:cs typeface="Calibri" panose="020F0502020204030204" pitchFamily="34" charset="0"/>
            </a:rPr>
            <a:t>Sources </a:t>
          </a:r>
          <a:endParaRPr lang="en-IN" sz="1100" b="1">
            <a:latin typeface="Calibri" panose="020F0502020204030204" pitchFamily="34" charset="0"/>
            <a:cs typeface="Calibri" panose="020F0502020204030204" pitchFamily="34" charset="0"/>
          </a:endParaRPr>
        </a:p>
      </xdr:txBody>
    </xdr:sp>
    <xdr:clientData/>
  </xdr:twoCellAnchor>
  <xdr:twoCellAnchor>
    <xdr:from>
      <xdr:col>8</xdr:col>
      <xdr:colOff>476251</xdr:colOff>
      <xdr:row>6</xdr:row>
      <xdr:rowOff>114299</xdr:rowOff>
    </xdr:from>
    <xdr:to>
      <xdr:col>11</xdr:col>
      <xdr:colOff>400050</xdr:colOff>
      <xdr:row>14</xdr:row>
      <xdr:rowOff>104774</xdr:rowOff>
    </xdr:to>
    <xdr:graphicFrame macro="">
      <xdr:nvGraphicFramePr>
        <xdr:cNvPr id="82" name="Chart 81">
          <a:extLst>
            <a:ext uri="{FF2B5EF4-FFF2-40B4-BE49-F238E27FC236}">
              <a16:creationId xmlns:a16="http://schemas.microsoft.com/office/drawing/2014/main" id="{697C9A16-EBC8-42AF-906F-9AC1E39300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12</xdr:col>
      <xdr:colOff>76199</xdr:colOff>
      <xdr:row>6</xdr:row>
      <xdr:rowOff>28575</xdr:rowOff>
    </xdr:from>
    <xdr:to>
      <xdr:col>14</xdr:col>
      <xdr:colOff>323848</xdr:colOff>
      <xdr:row>13</xdr:row>
      <xdr:rowOff>114299</xdr:rowOff>
    </xdr:to>
    <xdr:graphicFrame macro="">
      <xdr:nvGraphicFramePr>
        <xdr:cNvPr id="84" name="Chart 83">
          <a:extLst>
            <a:ext uri="{FF2B5EF4-FFF2-40B4-BE49-F238E27FC236}">
              <a16:creationId xmlns:a16="http://schemas.microsoft.com/office/drawing/2014/main" id="{52276789-A23A-496A-A232-6FD773CACE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20</xdr:col>
      <xdr:colOff>561975</xdr:colOff>
      <xdr:row>19</xdr:row>
      <xdr:rowOff>9525</xdr:rowOff>
    </xdr:from>
    <xdr:to>
      <xdr:col>23</xdr:col>
      <xdr:colOff>514349</xdr:colOff>
      <xdr:row>26</xdr:row>
      <xdr:rowOff>142874</xdr:rowOff>
    </xdr:to>
    <xdr:graphicFrame macro="">
      <xdr:nvGraphicFramePr>
        <xdr:cNvPr id="85" name="Chart 84">
          <a:extLst>
            <a:ext uri="{FF2B5EF4-FFF2-40B4-BE49-F238E27FC236}">
              <a16:creationId xmlns:a16="http://schemas.microsoft.com/office/drawing/2014/main" id="{8E5407F3-348B-4F3F-8713-167C2FB8F9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11</xdr:col>
      <xdr:colOff>371474</xdr:colOff>
      <xdr:row>6</xdr:row>
      <xdr:rowOff>57150</xdr:rowOff>
    </xdr:from>
    <xdr:to>
      <xdr:col>14</xdr:col>
      <xdr:colOff>161923</xdr:colOff>
      <xdr:row>13</xdr:row>
      <xdr:rowOff>190499</xdr:rowOff>
    </xdr:to>
    <xdr:graphicFrame macro="">
      <xdr:nvGraphicFramePr>
        <xdr:cNvPr id="86" name="Chart 85">
          <a:extLst>
            <a:ext uri="{FF2B5EF4-FFF2-40B4-BE49-F238E27FC236}">
              <a16:creationId xmlns:a16="http://schemas.microsoft.com/office/drawing/2014/main" id="{12601913-AA55-4CD0-BCB4-3B9A747495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9</xdr:col>
      <xdr:colOff>238125</xdr:colOff>
      <xdr:row>5</xdr:row>
      <xdr:rowOff>95250</xdr:rowOff>
    </xdr:from>
    <xdr:to>
      <xdr:col>13</xdr:col>
      <xdr:colOff>333375</xdr:colOff>
      <xdr:row>6</xdr:row>
      <xdr:rowOff>47625</xdr:rowOff>
    </xdr:to>
    <xdr:sp macro="" textlink="">
      <xdr:nvSpPr>
        <xdr:cNvPr id="87" name="TextBox 86">
          <a:extLst>
            <a:ext uri="{FF2B5EF4-FFF2-40B4-BE49-F238E27FC236}">
              <a16:creationId xmlns:a16="http://schemas.microsoft.com/office/drawing/2014/main" id="{8DB31584-A9AA-4F88-404F-F7018320A44F}"/>
            </a:ext>
          </a:extLst>
        </xdr:cNvPr>
        <xdr:cNvSpPr txBox="1"/>
      </xdr:nvSpPr>
      <xdr:spPr>
        <a:xfrm>
          <a:off x="5724525" y="1047750"/>
          <a:ext cx="2533650" cy="142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tx1"/>
              </a:solidFill>
              <a:latin typeface="Calibri" panose="020F0502020204030204" pitchFamily="34" charset="0"/>
              <a:cs typeface="Calibri" panose="020F0502020204030204" pitchFamily="34" charset="0"/>
            </a:rPr>
            <a:t>Visits by user Type</a:t>
          </a:r>
        </a:p>
      </xdr:txBody>
    </xdr:sp>
    <xdr:clientData/>
  </xdr:twoCellAnchor>
  <xdr:twoCellAnchor>
    <xdr:from>
      <xdr:col>0</xdr:col>
      <xdr:colOff>485775</xdr:colOff>
      <xdr:row>15</xdr:row>
      <xdr:rowOff>47626</xdr:rowOff>
    </xdr:from>
    <xdr:to>
      <xdr:col>7</xdr:col>
      <xdr:colOff>447675</xdr:colOff>
      <xdr:row>23</xdr:row>
      <xdr:rowOff>180976</xdr:rowOff>
    </xdr:to>
    <xdr:graphicFrame macro="">
      <xdr:nvGraphicFramePr>
        <xdr:cNvPr id="88" name="Chart 87">
          <a:extLst>
            <a:ext uri="{FF2B5EF4-FFF2-40B4-BE49-F238E27FC236}">
              <a16:creationId xmlns:a16="http://schemas.microsoft.com/office/drawing/2014/main" id="{B6D88A29-C8B1-4AF8-BEF3-F6AB8B1305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7</xdr:col>
      <xdr:colOff>542925</xdr:colOff>
      <xdr:row>15</xdr:row>
      <xdr:rowOff>57150</xdr:rowOff>
    </xdr:from>
    <xdr:to>
      <xdr:col>13</xdr:col>
      <xdr:colOff>485775</xdr:colOff>
      <xdr:row>24</xdr:row>
      <xdr:rowOff>66675</xdr:rowOff>
    </xdr:to>
    <xdr:graphicFrame macro="">
      <xdr:nvGraphicFramePr>
        <xdr:cNvPr id="89" name="Chart 88">
          <a:extLst>
            <a:ext uri="{FF2B5EF4-FFF2-40B4-BE49-F238E27FC236}">
              <a16:creationId xmlns:a16="http://schemas.microsoft.com/office/drawing/2014/main" id="{37FBBE4A-E349-4BF5-8D7C-D0C6FDDEB7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0</xdr:col>
      <xdr:colOff>295275</xdr:colOff>
      <xdr:row>25</xdr:row>
      <xdr:rowOff>0</xdr:rowOff>
    </xdr:from>
    <xdr:to>
      <xdr:col>5</xdr:col>
      <xdr:colOff>9525</xdr:colOff>
      <xdr:row>33</xdr:row>
      <xdr:rowOff>85725</xdr:rowOff>
    </xdr:to>
    <xdr:graphicFrame macro="">
      <xdr:nvGraphicFramePr>
        <xdr:cNvPr id="90" name="Chart 89">
          <a:extLst>
            <a:ext uri="{FF2B5EF4-FFF2-40B4-BE49-F238E27FC236}">
              <a16:creationId xmlns:a16="http://schemas.microsoft.com/office/drawing/2014/main" id="{8D7BC02F-73BA-4588-A6AB-C995BC2768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5</xdr:col>
      <xdr:colOff>47627</xdr:colOff>
      <xdr:row>24</xdr:row>
      <xdr:rowOff>161926</xdr:rowOff>
    </xdr:from>
    <xdr:to>
      <xdr:col>9</xdr:col>
      <xdr:colOff>304800</xdr:colOff>
      <xdr:row>32</xdr:row>
      <xdr:rowOff>180975</xdr:rowOff>
    </xdr:to>
    <xdr:graphicFrame macro="">
      <xdr:nvGraphicFramePr>
        <xdr:cNvPr id="91" name="Chart 90">
          <a:extLst>
            <a:ext uri="{FF2B5EF4-FFF2-40B4-BE49-F238E27FC236}">
              <a16:creationId xmlns:a16="http://schemas.microsoft.com/office/drawing/2014/main" id="{26563EEF-DFB8-459F-BF71-FD53F54DD6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9</xdr:col>
      <xdr:colOff>552450</xdr:colOff>
      <xdr:row>26</xdr:row>
      <xdr:rowOff>114300</xdr:rowOff>
    </xdr:from>
    <xdr:to>
      <xdr:col>14</xdr:col>
      <xdr:colOff>200025</xdr:colOff>
      <xdr:row>35</xdr:row>
      <xdr:rowOff>114300</xdr:rowOff>
    </xdr:to>
    <xdr:graphicFrame macro="">
      <xdr:nvGraphicFramePr>
        <xdr:cNvPr id="92" name="Chart 91">
          <a:extLst>
            <a:ext uri="{FF2B5EF4-FFF2-40B4-BE49-F238E27FC236}">
              <a16:creationId xmlns:a16="http://schemas.microsoft.com/office/drawing/2014/main" id="{49FE26E1-5D3A-4F9F-A48A-6DBF726896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10</xdr:col>
      <xdr:colOff>38100</xdr:colOff>
      <xdr:row>25</xdr:row>
      <xdr:rowOff>19050</xdr:rowOff>
    </xdr:from>
    <xdr:to>
      <xdr:col>14</xdr:col>
      <xdr:colOff>85725</xdr:colOff>
      <xdr:row>26</xdr:row>
      <xdr:rowOff>57150</xdr:rowOff>
    </xdr:to>
    <xdr:sp macro="" textlink="">
      <xdr:nvSpPr>
        <xdr:cNvPr id="93" name="TextBox 92">
          <a:extLst>
            <a:ext uri="{FF2B5EF4-FFF2-40B4-BE49-F238E27FC236}">
              <a16:creationId xmlns:a16="http://schemas.microsoft.com/office/drawing/2014/main" id="{2EEC7AD7-A59C-C23B-3253-4C1815C7BECF}"/>
            </a:ext>
          </a:extLst>
        </xdr:cNvPr>
        <xdr:cNvSpPr txBox="1"/>
      </xdr:nvSpPr>
      <xdr:spPr>
        <a:xfrm>
          <a:off x="6134100" y="4781550"/>
          <a:ext cx="2486025" cy="228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tx1"/>
              </a:solidFill>
              <a:latin typeface="Calibri" panose="020F0502020204030204" pitchFamily="34" charset="0"/>
              <a:cs typeface="Calibri" panose="020F0502020204030204" pitchFamily="34" charset="0"/>
            </a:rPr>
            <a:t>Top Three Campaign by Conversion %</a:t>
          </a:r>
        </a:p>
      </xdr:txBody>
    </xdr:sp>
    <xdr:clientData/>
  </xdr:twoCellAnchor>
  <xdr:twoCellAnchor editAs="oneCell">
    <xdr:from>
      <xdr:col>16</xdr:col>
      <xdr:colOff>514350</xdr:colOff>
      <xdr:row>0</xdr:row>
      <xdr:rowOff>180975</xdr:rowOff>
    </xdr:from>
    <xdr:to>
      <xdr:col>18</xdr:col>
      <xdr:colOff>523875</xdr:colOff>
      <xdr:row>4</xdr:row>
      <xdr:rowOff>57150</xdr:rowOff>
    </xdr:to>
    <mc:AlternateContent xmlns:mc="http://schemas.openxmlformats.org/markup-compatibility/2006" xmlns:a14="http://schemas.microsoft.com/office/drawing/2010/main">
      <mc:Choice Requires="a14">
        <xdr:graphicFrame macro="">
          <xdr:nvGraphicFramePr>
            <xdr:cNvPr id="94" name="Month">
              <a:extLst>
                <a:ext uri="{FF2B5EF4-FFF2-40B4-BE49-F238E27FC236}">
                  <a16:creationId xmlns:a16="http://schemas.microsoft.com/office/drawing/2014/main" id="{60FB85D7-A747-4DCF-B547-861C4A90500A}"/>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0267950" y="180975"/>
              <a:ext cx="1228725" cy="638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495300</xdr:colOff>
      <xdr:row>1</xdr:row>
      <xdr:rowOff>9525</xdr:rowOff>
    </xdr:from>
    <xdr:to>
      <xdr:col>16</xdr:col>
      <xdr:colOff>476250</xdr:colOff>
      <xdr:row>4</xdr:row>
      <xdr:rowOff>28575</xdr:rowOff>
    </xdr:to>
    <xdr:pic>
      <xdr:nvPicPr>
        <xdr:cNvPr id="96" name="Graphic 95" descr="Monitor with solid fill">
          <a:extLst>
            <a:ext uri="{FF2B5EF4-FFF2-40B4-BE49-F238E27FC236}">
              <a16:creationId xmlns:a16="http://schemas.microsoft.com/office/drawing/2014/main" id="{CA3E8A42-CFF9-77B5-36AD-F8C23D6291C1}"/>
            </a:ext>
          </a:extLst>
        </xdr:cNvPr>
        <xdr:cNvPicPr>
          <a:picLocks noChangeAspect="1"/>
        </xdr:cNvPicPr>
      </xdr:nvPicPr>
      <xdr:blipFill>
        <a:blip xmlns:r="http://schemas.openxmlformats.org/officeDocument/2006/relationships" r:embed="rId29">
          <a:extLst>
            <a:ext uri="{96DAC541-7B7A-43D3-8B79-37D633B846F1}">
              <asvg:svgBlip xmlns:asvg="http://schemas.microsoft.com/office/drawing/2016/SVG/main" r:embed="rId30"/>
            </a:ext>
          </a:extLst>
        </a:blip>
        <a:stretch>
          <a:fillRect/>
        </a:stretch>
      </xdr:blipFill>
      <xdr:spPr>
        <a:xfrm>
          <a:off x="9639300" y="200025"/>
          <a:ext cx="590550" cy="590550"/>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0.04494</cdr:x>
      <cdr:y>0.07097</cdr:y>
    </cdr:from>
    <cdr:to>
      <cdr:x>0.97753</cdr:x>
      <cdr:y>0.09677</cdr:y>
    </cdr:to>
    <cdr:sp macro="" textlink="">
      <cdr:nvSpPr>
        <cdr:cNvPr id="2" name="TextBox 1">
          <a:extLst xmlns:a="http://schemas.openxmlformats.org/drawingml/2006/main">
            <a:ext uri="{FF2B5EF4-FFF2-40B4-BE49-F238E27FC236}">
              <a16:creationId xmlns:a16="http://schemas.microsoft.com/office/drawing/2014/main" id="{39223B8B-4F27-9EBC-E611-6B3C7AF87F4B}"/>
            </a:ext>
          </a:extLst>
        </cdr:cNvPr>
        <cdr:cNvSpPr txBox="1"/>
      </cdr:nvSpPr>
      <cdr:spPr>
        <a:xfrm xmlns:a="http://schemas.openxmlformats.org/drawingml/2006/main">
          <a:off x="114300" y="125731"/>
          <a:ext cx="2371725" cy="4571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drawings/drawing3.xml><?xml version="1.0" encoding="utf-8"?>
<c:userShapes xmlns:c="http://schemas.openxmlformats.org/drawingml/2006/chart">
  <cdr:relSizeAnchor xmlns:cdr="http://schemas.openxmlformats.org/drawingml/2006/chartDrawing">
    <cdr:from>
      <cdr:x>0.34685</cdr:x>
      <cdr:y>0.11494</cdr:y>
    </cdr:from>
    <cdr:to>
      <cdr:x>0.73423</cdr:x>
      <cdr:y>0.27011</cdr:y>
    </cdr:to>
    <cdr:sp macro="" textlink="">
      <cdr:nvSpPr>
        <cdr:cNvPr id="2" name="TextBox 1">
          <a:extLst xmlns:a="http://schemas.openxmlformats.org/drawingml/2006/main">
            <a:ext uri="{FF2B5EF4-FFF2-40B4-BE49-F238E27FC236}">
              <a16:creationId xmlns:a16="http://schemas.microsoft.com/office/drawing/2014/main" id="{90DC903E-74BD-88E3-7BA8-4411E9335FF6}"/>
            </a:ext>
          </a:extLst>
        </cdr:cNvPr>
        <cdr:cNvSpPr txBox="1"/>
      </cdr:nvSpPr>
      <cdr:spPr>
        <a:xfrm xmlns:a="http://schemas.openxmlformats.org/drawingml/2006/main">
          <a:off x="1466850" y="190499"/>
          <a:ext cx="1638300" cy="2571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0.40315</cdr:x>
      <cdr:y>0.10345</cdr:y>
    </cdr:from>
    <cdr:to>
      <cdr:x>0.75901</cdr:x>
      <cdr:y>0.28736</cdr:y>
    </cdr:to>
    <cdr:sp macro="" textlink="">
      <cdr:nvSpPr>
        <cdr:cNvPr id="3" name="TextBox 2">
          <a:extLst xmlns:a="http://schemas.openxmlformats.org/drawingml/2006/main">
            <a:ext uri="{FF2B5EF4-FFF2-40B4-BE49-F238E27FC236}">
              <a16:creationId xmlns:a16="http://schemas.microsoft.com/office/drawing/2014/main" id="{CA4E74E1-8BB6-D06D-92E4-590EDE4FF065}"/>
            </a:ext>
          </a:extLst>
        </cdr:cNvPr>
        <cdr:cNvSpPr txBox="1"/>
      </cdr:nvSpPr>
      <cdr:spPr>
        <a:xfrm xmlns:a="http://schemas.openxmlformats.org/drawingml/2006/main">
          <a:off x="1704975" y="171449"/>
          <a:ext cx="1504950" cy="304800"/>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nchor="ctr"/>
        <a:lstStyle xmlns:a="http://schemas.openxmlformats.org/drawingml/2006/main"/>
        <a:p xmlns:a="http://schemas.openxmlformats.org/drawingml/2006/main">
          <a:pPr algn="ctr"/>
          <a:r>
            <a:rPr lang="en-IN" sz="1100" b="1" kern="1200">
              <a:solidFill>
                <a:schemeClr val="tx1"/>
              </a:solidFill>
              <a:latin typeface="Calibri" panose="020F0502020204030204" pitchFamily="34" charset="0"/>
              <a:cs typeface="Calibri" panose="020F0502020204030204" pitchFamily="34" charset="0"/>
            </a:rPr>
            <a:t>Visits</a:t>
          </a:r>
          <a:r>
            <a:rPr lang="en-IN" sz="1100" b="1" kern="1200" baseline="0">
              <a:solidFill>
                <a:schemeClr val="tx1"/>
              </a:solidFill>
              <a:latin typeface="Calibri" panose="020F0502020204030204" pitchFamily="34" charset="0"/>
              <a:cs typeface="Calibri" panose="020F0502020204030204" pitchFamily="34" charset="0"/>
            </a:rPr>
            <a:t> Count by Month</a:t>
          </a:r>
          <a:endParaRPr lang="en-IN" sz="1100" b="1" kern="1200">
            <a:solidFill>
              <a:schemeClr val="tx1"/>
            </a:solidFill>
            <a:latin typeface="Calibri" panose="020F0502020204030204" pitchFamily="34" charset="0"/>
            <a:cs typeface="Calibri" panose="020F0502020204030204" pitchFamily="34" charset="0"/>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0.1455</cdr:x>
      <cdr:y>0.00552</cdr:y>
    </cdr:from>
    <cdr:to>
      <cdr:x>0.81481</cdr:x>
      <cdr:y>0.16022</cdr:y>
    </cdr:to>
    <cdr:sp macro="" textlink="">
      <cdr:nvSpPr>
        <cdr:cNvPr id="2" name="TextBox 1">
          <a:extLst xmlns:a="http://schemas.openxmlformats.org/drawingml/2006/main">
            <a:ext uri="{FF2B5EF4-FFF2-40B4-BE49-F238E27FC236}">
              <a16:creationId xmlns:a16="http://schemas.microsoft.com/office/drawing/2014/main" id="{159DE8C1-CD64-FDB8-7736-67F3CCF81DAC}"/>
            </a:ext>
          </a:extLst>
        </cdr:cNvPr>
        <cdr:cNvSpPr txBox="1"/>
      </cdr:nvSpPr>
      <cdr:spPr>
        <a:xfrm xmlns:a="http://schemas.openxmlformats.org/drawingml/2006/main">
          <a:off x="523875" y="9525"/>
          <a:ext cx="2409825" cy="2667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0.20635</cdr:x>
      <cdr:y>0.00552</cdr:y>
    </cdr:from>
    <cdr:to>
      <cdr:x>0.83862</cdr:x>
      <cdr:y>0.12155</cdr:y>
    </cdr:to>
    <cdr:sp macro="" textlink="">
      <cdr:nvSpPr>
        <cdr:cNvPr id="3" name="TextBox 2">
          <a:extLst xmlns:a="http://schemas.openxmlformats.org/drawingml/2006/main">
            <a:ext uri="{FF2B5EF4-FFF2-40B4-BE49-F238E27FC236}">
              <a16:creationId xmlns:a16="http://schemas.microsoft.com/office/drawing/2014/main" id="{87D81BC7-47F1-18B3-AD96-9A9D69BC7C76}"/>
            </a:ext>
          </a:extLst>
        </cdr:cNvPr>
        <cdr:cNvSpPr txBox="1"/>
      </cdr:nvSpPr>
      <cdr:spPr>
        <a:xfrm xmlns:a="http://schemas.openxmlformats.org/drawingml/2006/main">
          <a:off x="742950" y="9525"/>
          <a:ext cx="2276475" cy="2000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0.16138</cdr:x>
      <cdr:y>0.09945</cdr:y>
    </cdr:from>
    <cdr:to>
      <cdr:x>0.89683</cdr:x>
      <cdr:y>0.27624</cdr:y>
    </cdr:to>
    <cdr:sp macro="" textlink="">
      <cdr:nvSpPr>
        <cdr:cNvPr id="4" name="TextBox 3">
          <a:extLst xmlns:a="http://schemas.openxmlformats.org/drawingml/2006/main">
            <a:ext uri="{FF2B5EF4-FFF2-40B4-BE49-F238E27FC236}">
              <a16:creationId xmlns:a16="http://schemas.microsoft.com/office/drawing/2014/main" id="{F5AF72FA-76F4-E8E7-8B59-D0779BBB4C39}"/>
            </a:ext>
          </a:extLst>
        </cdr:cNvPr>
        <cdr:cNvSpPr txBox="1"/>
      </cdr:nvSpPr>
      <cdr:spPr>
        <a:xfrm xmlns:a="http://schemas.openxmlformats.org/drawingml/2006/main">
          <a:off x="581025" y="171450"/>
          <a:ext cx="2647950" cy="3048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0.17196</cdr:x>
      <cdr:y>0.1105</cdr:y>
    </cdr:from>
    <cdr:to>
      <cdr:x>0.9418</cdr:x>
      <cdr:y>0.25967</cdr:y>
    </cdr:to>
    <cdr:sp macro="" textlink="">
      <cdr:nvSpPr>
        <cdr:cNvPr id="5" name="TextBox 4">
          <a:extLst xmlns:a="http://schemas.openxmlformats.org/drawingml/2006/main">
            <a:ext uri="{FF2B5EF4-FFF2-40B4-BE49-F238E27FC236}">
              <a16:creationId xmlns:a16="http://schemas.microsoft.com/office/drawing/2014/main" id="{88D3EB9B-9357-DE13-87E7-E81D01CEE54C}"/>
            </a:ext>
          </a:extLst>
        </cdr:cNvPr>
        <cdr:cNvSpPr txBox="1"/>
      </cdr:nvSpPr>
      <cdr:spPr>
        <a:xfrm xmlns:a="http://schemas.openxmlformats.org/drawingml/2006/main">
          <a:off x="619125" y="190500"/>
          <a:ext cx="2771775" cy="2571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0.16931</cdr:x>
      <cdr:y>0.09945</cdr:y>
    </cdr:from>
    <cdr:to>
      <cdr:x>0.82275</cdr:x>
      <cdr:y>0.37017</cdr:y>
    </cdr:to>
    <cdr:sp macro="" textlink="">
      <cdr:nvSpPr>
        <cdr:cNvPr id="6" name="TextBox 5">
          <a:extLst xmlns:a="http://schemas.openxmlformats.org/drawingml/2006/main">
            <a:ext uri="{FF2B5EF4-FFF2-40B4-BE49-F238E27FC236}">
              <a16:creationId xmlns:a16="http://schemas.microsoft.com/office/drawing/2014/main" id="{A5175468-F358-5E94-9D9E-09792A8284FE}"/>
            </a:ext>
          </a:extLst>
        </cdr:cNvPr>
        <cdr:cNvSpPr txBox="1"/>
      </cdr:nvSpPr>
      <cdr:spPr>
        <a:xfrm xmlns:a="http://schemas.openxmlformats.org/drawingml/2006/main">
          <a:off x="609600" y="171450"/>
          <a:ext cx="2352675" cy="4667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0.07143</cdr:x>
      <cdr:y>0.05525</cdr:y>
    </cdr:from>
    <cdr:to>
      <cdr:x>0.95238</cdr:x>
      <cdr:y>0.1768</cdr:y>
    </cdr:to>
    <cdr:sp macro="" textlink="">
      <cdr:nvSpPr>
        <cdr:cNvPr id="7" name="TextBox 6">
          <a:extLst xmlns:a="http://schemas.openxmlformats.org/drawingml/2006/main">
            <a:ext uri="{FF2B5EF4-FFF2-40B4-BE49-F238E27FC236}">
              <a16:creationId xmlns:a16="http://schemas.microsoft.com/office/drawing/2014/main" id="{9CA4187C-3B44-6918-C8D5-2FC06A1CCED1}"/>
            </a:ext>
          </a:extLst>
        </cdr:cNvPr>
        <cdr:cNvSpPr txBox="1"/>
      </cdr:nvSpPr>
      <cdr:spPr>
        <a:xfrm xmlns:a="http://schemas.openxmlformats.org/drawingml/2006/main">
          <a:off x="257175" y="95250"/>
          <a:ext cx="3171825" cy="20955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IN" sz="1100" b="1" kern="1200">
              <a:solidFill>
                <a:schemeClr val="tx1"/>
              </a:solidFill>
            </a:rPr>
            <a:t>Bounce Rate by Month</a:t>
          </a:r>
        </a:p>
      </cdr:txBody>
    </cdr:sp>
  </cdr:relSizeAnchor>
</c:userShapes>
</file>

<file path=xl/drawings/drawing5.xml><?xml version="1.0" encoding="utf-8"?>
<c:userShapes xmlns:c="http://schemas.openxmlformats.org/drawingml/2006/chart">
  <cdr:relSizeAnchor xmlns:cdr="http://schemas.openxmlformats.org/drawingml/2006/chartDrawing">
    <cdr:from>
      <cdr:x>0.08276</cdr:x>
      <cdr:y>0.04734</cdr:y>
    </cdr:from>
    <cdr:to>
      <cdr:x>1</cdr:x>
      <cdr:y>0.19527</cdr:y>
    </cdr:to>
    <cdr:sp macro="" textlink="">
      <cdr:nvSpPr>
        <cdr:cNvPr id="2" name="TextBox 1">
          <a:extLst xmlns:a="http://schemas.openxmlformats.org/drawingml/2006/main">
            <a:ext uri="{FF2B5EF4-FFF2-40B4-BE49-F238E27FC236}">
              <a16:creationId xmlns:a16="http://schemas.microsoft.com/office/drawing/2014/main" id="{AEE5076A-B5EF-77B1-3B43-89D101794F93}"/>
            </a:ext>
          </a:extLst>
        </cdr:cNvPr>
        <cdr:cNvSpPr txBox="1"/>
      </cdr:nvSpPr>
      <cdr:spPr>
        <a:xfrm xmlns:a="http://schemas.openxmlformats.org/drawingml/2006/main">
          <a:off x="228601" y="76199"/>
          <a:ext cx="2533649" cy="23812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IN" sz="1100" b="1" kern="1200">
              <a:solidFill>
                <a:schemeClr val="tx1"/>
              </a:solidFill>
            </a:rPr>
            <a:t>Top Three Channels by </a:t>
          </a:r>
          <a:r>
            <a:rPr lang="en-US" sz="1100" b="1" kern="1200">
              <a:solidFill>
                <a:schemeClr val="tx1"/>
              </a:solidFill>
            </a:rPr>
            <a:t>Conversion %</a:t>
          </a:r>
          <a:endParaRPr lang="en-IN" sz="1100" b="1" kern="1200">
            <a:solidFill>
              <a:schemeClr val="tx1"/>
            </a:solidFill>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0.15771</cdr:x>
      <cdr:y>0.08621</cdr:y>
    </cdr:from>
    <cdr:to>
      <cdr:x>0.91398</cdr:x>
      <cdr:y>0.17816</cdr:y>
    </cdr:to>
    <cdr:sp macro="" textlink="">
      <cdr:nvSpPr>
        <cdr:cNvPr id="2" name="TextBox 1">
          <a:extLst xmlns:a="http://schemas.openxmlformats.org/drawingml/2006/main">
            <a:ext uri="{FF2B5EF4-FFF2-40B4-BE49-F238E27FC236}">
              <a16:creationId xmlns:a16="http://schemas.microsoft.com/office/drawing/2014/main" id="{A48D74A7-82B9-40E6-98DE-2BA9207ED6D3}"/>
            </a:ext>
          </a:extLst>
        </cdr:cNvPr>
        <cdr:cNvSpPr txBox="1"/>
      </cdr:nvSpPr>
      <cdr:spPr>
        <a:xfrm xmlns:a="http://schemas.openxmlformats.org/drawingml/2006/main">
          <a:off x="419098" y="142874"/>
          <a:ext cx="2009775" cy="152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0.17174</cdr:x>
      <cdr:y>0</cdr:y>
    </cdr:from>
    <cdr:to>
      <cdr:x>0.96744</cdr:x>
      <cdr:y>0.14368</cdr:y>
    </cdr:to>
    <cdr:sp macro="" textlink="">
      <cdr:nvSpPr>
        <cdr:cNvPr id="3" name="TextBox 2">
          <a:extLst xmlns:a="http://schemas.openxmlformats.org/drawingml/2006/main">
            <a:ext uri="{FF2B5EF4-FFF2-40B4-BE49-F238E27FC236}">
              <a16:creationId xmlns:a16="http://schemas.microsoft.com/office/drawing/2014/main" id="{E960FF9D-39C9-E9A4-27AB-A0782055B76D}"/>
            </a:ext>
          </a:extLst>
        </cdr:cNvPr>
        <cdr:cNvSpPr txBox="1"/>
      </cdr:nvSpPr>
      <cdr:spPr>
        <a:xfrm xmlns:a="http://schemas.openxmlformats.org/drawingml/2006/main">
          <a:off x="462933" y="0"/>
          <a:ext cx="2144867" cy="221704"/>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IN" sz="1100" b="1" kern="1200">
              <a:solidFill>
                <a:schemeClr val="tx1"/>
              </a:solidFill>
            </a:rPr>
            <a:t>Top Three Pages by Conversion %</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BOJIT" refreshedDate="46074.567887037039" createdVersion="8" refreshedVersion="8" minRefreshableVersion="3" recordCount="195" xr:uid="{75BCEEB1-02CB-422C-9C43-512FD44B6087}">
  <cacheSource type="worksheet">
    <worksheetSource name="Table1"/>
  </cacheSource>
  <cacheFields count="20">
    <cacheField name="Traffic Source Type" numFmtId="0">
      <sharedItems count="6">
        <s v="Social"/>
        <s v="Direct"/>
        <s v="Paid"/>
        <s v="Defect"/>
        <s v="Referral"/>
        <s v="Email"/>
      </sharedItems>
    </cacheField>
    <cacheField name="Traffic Source %" numFmtId="0">
      <sharedItems containsSemiMixedTypes="0" containsString="0" containsNumber="1" containsInteger="1" minValue="14" maxValue="91"/>
    </cacheField>
    <cacheField name="Visitor Type" numFmtId="0">
      <sharedItems count="3">
        <s v="Returning"/>
        <s v="New"/>
        <s v="Guest"/>
      </sharedItems>
    </cacheField>
    <cacheField name="Visitor Count" numFmtId="0">
      <sharedItems containsSemiMixedTypes="0" containsString="0" containsNumber="1" containsInteger="1" minValue="0" maxValue="439"/>
    </cacheField>
    <cacheField name="Visitor Date" numFmtId="14">
      <sharedItems containsSemiMixedTypes="0" containsNonDate="0" containsDate="1" containsString="0" minDate="2022-01-09T00:00:00" maxDate="2022-07-23T00:00:00"/>
    </cacheField>
    <cacheField name="Visits (in thousands)" numFmtId="0">
      <sharedItems containsSemiMixedTypes="0" containsString="0" containsNumber="1" containsInteger="1" minValue="6" maxValue="55"/>
    </cacheField>
    <cacheField name="Bounce Rate %" numFmtId="0">
      <sharedItems containsSemiMixedTypes="0" containsString="0" containsNumber="1" minValue="5" maxValue="91.5"/>
    </cacheField>
    <cacheField name="Avg. Session Duration (sec)" numFmtId="0">
      <sharedItems containsSemiMixedTypes="0" containsString="0" containsNumber="1" containsInteger="1" minValue="15" maxValue="79"/>
    </cacheField>
    <cacheField name="Pages Per Visit" numFmtId="0">
      <sharedItems containsSemiMixedTypes="0" containsString="0" containsNumber="1" minValue="2.5" maxValue="4.5999999999999996"/>
    </cacheField>
    <cacheField name="Bounce Rate" numFmtId="0">
      <sharedItems containsString="0" containsBlank="1" containsNumber="1" minValue="0" maxValue="68"/>
    </cacheField>
    <cacheField name="Total Page Views" numFmtId="0">
      <sharedItems containsSemiMixedTypes="0" containsString="0" containsNumber="1" containsInteger="1" minValue="25" maxValue="99"/>
    </cacheField>
    <cacheField name="Goal Conversion Rate %" numFmtId="0">
      <sharedItems containsSemiMixedTypes="0" containsString="0" containsNumber="1" minValue="4" maxValue="18.5"/>
    </cacheField>
    <cacheField name="Channel" numFmtId="0">
      <sharedItems count="3">
        <s v="Paid Search"/>
        <s v="Direct"/>
        <s v="Organic"/>
      </sharedItems>
    </cacheField>
    <cacheField name="Conversion % (Channel)" numFmtId="0">
      <sharedItems containsSemiMixedTypes="0" containsString="0" containsNumber="1" minValue="4" maxValue="27.5"/>
    </cacheField>
    <cacheField name="Campaign Name" numFmtId="0">
      <sharedItems count="4">
        <s v="Campaign 2"/>
        <s v="Campaign 1"/>
        <s v="Campaign 3"/>
        <s v="Campaign 4"/>
      </sharedItems>
    </cacheField>
    <cacheField name="Conversion % (Campaign)" numFmtId="0">
      <sharedItems containsSemiMixedTypes="0" containsString="0" containsNumber="1" minValue="6.5" maxValue="20.5"/>
    </cacheField>
    <cacheField name="Page Name" numFmtId="0">
      <sharedItems count="3">
        <s v="Page 3"/>
        <s v="Page 1"/>
        <s v="Page 2"/>
      </sharedItems>
    </cacheField>
    <cacheField name="Conversion % (Page)" numFmtId="0">
      <sharedItems containsSemiMixedTypes="0" containsString="0" containsNumber="1" minValue="5" maxValue="23"/>
    </cacheField>
    <cacheField name="Year" numFmtId="0">
      <sharedItems containsSemiMixedTypes="0" containsString="0" containsNumber="1" containsInteger="1" minValue="2022" maxValue="2022" count="1">
        <n v="2022"/>
      </sharedItems>
    </cacheField>
    <cacheField name="Month" numFmtId="0">
      <sharedItems count="7">
        <s v="Jan"/>
        <s v="Feb"/>
        <s v="Mar"/>
        <s v="Apr"/>
        <s v="May"/>
        <s v="Jun"/>
        <s v="Jul"/>
      </sharedItems>
    </cacheField>
  </cacheFields>
  <extLst>
    <ext xmlns:x14="http://schemas.microsoft.com/office/spreadsheetml/2009/9/main" uri="{725AE2AE-9491-48be-B2B4-4EB974FC3084}">
      <x14:pivotCacheDefinition pivotCacheId="3362720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
  <r>
    <x v="0"/>
    <n v="91"/>
    <x v="0"/>
    <n v="52"/>
    <d v="2022-01-09T00:00:00"/>
    <n v="53"/>
    <n v="54.88"/>
    <n v="77"/>
    <n v="4.3"/>
    <n v="61.5"/>
    <n v="69"/>
    <n v="17.100000000000001"/>
    <x v="0"/>
    <n v="6.2"/>
    <x v="0"/>
    <n v="17.399999999999999"/>
    <x v="0"/>
    <n v="22.2"/>
    <x v="0"/>
    <x v="0"/>
  </r>
  <r>
    <x v="0"/>
    <n v="91"/>
    <x v="1"/>
    <n v="125"/>
    <d v="2022-01-10T00:00:00"/>
    <n v="30"/>
    <n v="56.3"/>
    <n v="73"/>
    <n v="3.7"/>
    <n v="59.2"/>
    <n v="56"/>
    <n v="16"/>
    <x v="0"/>
    <n v="6"/>
    <x v="0"/>
    <n v="16.8"/>
    <x v="0"/>
    <n v="21.5"/>
    <x v="0"/>
    <x v="0"/>
  </r>
  <r>
    <x v="1"/>
    <n v="44"/>
    <x v="0"/>
    <n v="45"/>
    <d v="2022-01-11T00:00:00"/>
    <n v="50"/>
    <n v="91.47"/>
    <n v="49"/>
    <n v="2.9"/>
    <n v="47.8"/>
    <n v="33"/>
    <n v="18"/>
    <x v="1"/>
    <n v="27.5"/>
    <x v="0"/>
    <n v="8.1"/>
    <x v="1"/>
    <n v="6.9"/>
    <x v="0"/>
    <x v="0"/>
  </r>
  <r>
    <x v="1"/>
    <n v="44"/>
    <x v="1"/>
    <n v="39"/>
    <d v="2022-01-12T00:00:00"/>
    <n v="42"/>
    <n v="85.3"/>
    <n v="35"/>
    <n v="2.7"/>
    <n v="45"/>
    <n v="28"/>
    <n v="17.5"/>
    <x v="1"/>
    <n v="26"/>
    <x v="0"/>
    <n v="7.5"/>
    <x v="1"/>
    <n v="6.3"/>
    <x v="0"/>
    <x v="0"/>
  </r>
  <r>
    <x v="2"/>
    <n v="26"/>
    <x v="0"/>
    <n v="30"/>
    <d v="2022-01-13T00:00:00"/>
    <n v="9"/>
    <n v="6.04"/>
    <n v="78"/>
    <n v="3.2"/>
    <n v="48.7"/>
    <n v="35"/>
    <n v="5.8"/>
    <x v="2"/>
    <n v="23.6"/>
    <x v="0"/>
    <n v="18.399999999999999"/>
    <x v="0"/>
    <n v="11.6"/>
    <x v="0"/>
    <x v="0"/>
  </r>
  <r>
    <x v="2"/>
    <n v="26"/>
    <x v="1"/>
    <n v="35"/>
    <d v="2022-01-14T00:00:00"/>
    <n v="14"/>
    <n v="7.5"/>
    <n v="75"/>
    <n v="3.1"/>
    <n v="46.2"/>
    <n v="29"/>
    <n v="5.5"/>
    <x v="2"/>
    <n v="22"/>
    <x v="0"/>
    <n v="16.7"/>
    <x v="0"/>
    <n v="10.8"/>
    <x v="0"/>
    <x v="0"/>
  </r>
  <r>
    <x v="3"/>
    <n v="68"/>
    <x v="0"/>
    <n v="155"/>
    <d v="2022-01-15T00:00:00"/>
    <n v="15"/>
    <n v="90"/>
    <n v="54"/>
    <n v="3.4"/>
    <n v="67.8"/>
    <n v="34"/>
    <n v="11"/>
    <x v="0"/>
    <n v="5.3"/>
    <x v="1"/>
    <n v="20.5"/>
    <x v="1"/>
    <n v="19.5"/>
    <x v="0"/>
    <x v="0"/>
  </r>
  <r>
    <x v="3"/>
    <n v="68"/>
    <x v="1"/>
    <n v="28"/>
    <d v="2022-01-16T00:00:00"/>
    <n v="10"/>
    <n v="88"/>
    <n v="50"/>
    <n v="3"/>
    <n v="4"/>
    <n v="28"/>
    <n v="10.199999999999999"/>
    <x v="0"/>
    <n v="4.8"/>
    <x v="1"/>
    <n v="19.7"/>
    <x v="1"/>
    <n v="18"/>
    <x v="0"/>
    <x v="0"/>
  </r>
  <r>
    <x v="4"/>
    <n v="14"/>
    <x v="0"/>
    <n v="114"/>
    <d v="2022-01-17T00:00:00"/>
    <n v="17"/>
    <n v="70.63"/>
    <n v="41"/>
    <n v="3.9"/>
    <n v="59.4"/>
    <n v="95"/>
    <n v="15.6"/>
    <x v="2"/>
    <n v="23.7"/>
    <x v="2"/>
    <n v="15.6"/>
    <x v="1"/>
    <n v="15.1"/>
    <x v="0"/>
    <x v="0"/>
  </r>
  <r>
    <x v="4"/>
    <n v="14"/>
    <x v="1"/>
    <n v="11"/>
    <d v="2022-01-18T00:00:00"/>
    <n v="8"/>
    <n v="65"/>
    <n v="25"/>
    <n v="3.6"/>
    <n v="55"/>
    <n v="65"/>
    <n v="14"/>
    <x v="2"/>
    <n v="21.5"/>
    <x v="2"/>
    <n v="13.9"/>
    <x v="1"/>
    <n v="14.2"/>
    <x v="0"/>
    <x v="0"/>
  </r>
  <r>
    <x v="5"/>
    <n v="33"/>
    <x v="0"/>
    <n v="30"/>
    <d v="2022-01-19T00:00:00"/>
    <n v="18"/>
    <n v="65.34"/>
    <n v="15"/>
    <n v="4.0999999999999996"/>
    <n v="52.3"/>
    <n v="94"/>
    <n v="16.2"/>
    <x v="1"/>
    <n v="18.899999999999999"/>
    <x v="3"/>
    <n v="13.8"/>
    <x v="2"/>
    <n v="10.7"/>
    <x v="0"/>
    <x v="0"/>
  </r>
  <r>
    <x v="5"/>
    <n v="33"/>
    <x v="1"/>
    <n v="26"/>
    <d v="2022-01-20T00:00:00"/>
    <n v="13"/>
    <n v="60.2"/>
    <n v="16"/>
    <n v="3.8"/>
    <n v="50.5"/>
    <n v="75"/>
    <n v="15"/>
    <x v="1"/>
    <n v="17.8"/>
    <x v="3"/>
    <n v="12"/>
    <x v="2"/>
    <n v="9.5"/>
    <x v="0"/>
    <x v="0"/>
  </r>
  <r>
    <x v="0"/>
    <n v="91"/>
    <x v="0"/>
    <n v="45"/>
    <d v="2022-01-21T00:00:00"/>
    <n v="50"/>
    <n v="54.88"/>
    <n v="77"/>
    <n v="4.2"/>
    <n v="61.5"/>
    <n v="68"/>
    <n v="17.100000000000001"/>
    <x v="0"/>
    <n v="6.2"/>
    <x v="0"/>
    <n v="17.399999999999999"/>
    <x v="0"/>
    <n v="22.2"/>
    <x v="0"/>
    <x v="0"/>
  </r>
  <r>
    <x v="0"/>
    <n v="91"/>
    <x v="1"/>
    <n v="28"/>
    <d v="2022-01-22T00:00:00"/>
    <n v="33"/>
    <n v="56.3"/>
    <n v="73"/>
    <n v="3.7"/>
    <n v="59.2"/>
    <n v="57"/>
    <n v="16"/>
    <x v="0"/>
    <n v="6"/>
    <x v="0"/>
    <n v="16.8"/>
    <x v="0"/>
    <n v="21.5"/>
    <x v="0"/>
    <x v="0"/>
  </r>
  <r>
    <x v="1"/>
    <n v="44"/>
    <x v="0"/>
    <n v="42"/>
    <d v="2022-01-23T00:00:00"/>
    <n v="46"/>
    <n v="91.47"/>
    <n v="49"/>
    <n v="2.9"/>
    <n v="47.8"/>
    <n v="31"/>
    <n v="18"/>
    <x v="1"/>
    <n v="27.5"/>
    <x v="0"/>
    <n v="8.1"/>
    <x v="1"/>
    <n v="6.9"/>
    <x v="0"/>
    <x v="0"/>
  </r>
  <r>
    <x v="1"/>
    <n v="44"/>
    <x v="1"/>
    <n v="38"/>
    <d v="2022-01-24T00:00:00"/>
    <n v="35"/>
    <n v="85.3"/>
    <n v="35"/>
    <n v="2.5"/>
    <n v="45"/>
    <n v="27"/>
    <n v="17.5"/>
    <x v="1"/>
    <n v="26"/>
    <x v="0"/>
    <n v="7.5"/>
    <x v="1"/>
    <n v="6.3"/>
    <x v="0"/>
    <x v="0"/>
  </r>
  <r>
    <x v="2"/>
    <n v="26"/>
    <x v="0"/>
    <n v="35"/>
    <d v="2022-01-25T00:00:00"/>
    <n v="9"/>
    <n v="6.04"/>
    <n v="78"/>
    <n v="3.4"/>
    <n v="48.7"/>
    <n v="36"/>
    <n v="5.8"/>
    <x v="2"/>
    <n v="23.6"/>
    <x v="0"/>
    <n v="18.399999999999999"/>
    <x v="0"/>
    <n v="11.6"/>
    <x v="0"/>
    <x v="0"/>
  </r>
  <r>
    <x v="2"/>
    <n v="26"/>
    <x v="1"/>
    <n v="32"/>
    <d v="2022-01-26T00:00:00"/>
    <n v="12"/>
    <n v="7.5"/>
    <n v="75"/>
    <n v="3"/>
    <n v="46.2"/>
    <n v="29"/>
    <n v="5.5"/>
    <x v="2"/>
    <n v="22"/>
    <x v="0"/>
    <n v="16.7"/>
    <x v="0"/>
    <n v="10.8"/>
    <x v="0"/>
    <x v="0"/>
  </r>
  <r>
    <x v="3"/>
    <n v="68"/>
    <x v="0"/>
    <n v="150"/>
    <d v="2022-01-27T00:00:00"/>
    <n v="13"/>
    <n v="90"/>
    <n v="54"/>
    <n v="3.5"/>
    <n v="67.8"/>
    <n v="33"/>
    <n v="11"/>
    <x v="0"/>
    <n v="5.3"/>
    <x v="1"/>
    <n v="20.5"/>
    <x v="1"/>
    <n v="19.5"/>
    <x v="0"/>
    <x v="0"/>
  </r>
  <r>
    <x v="3"/>
    <n v="68"/>
    <x v="1"/>
    <n v="30"/>
    <d v="2022-01-28T00:00:00"/>
    <n v="11"/>
    <n v="88"/>
    <n v="50"/>
    <n v="3.2"/>
    <n v="64"/>
    <n v="28"/>
    <n v="10.199999999999999"/>
    <x v="0"/>
    <n v="4.8"/>
    <x v="1"/>
    <n v="19.7"/>
    <x v="1"/>
    <n v="18"/>
    <x v="0"/>
    <x v="0"/>
  </r>
  <r>
    <x v="4"/>
    <n v="14"/>
    <x v="0"/>
    <n v="12"/>
    <d v="2022-01-29T00:00:00"/>
    <n v="15"/>
    <n v="70.63"/>
    <n v="41"/>
    <n v="3.9"/>
    <n v="59.4"/>
    <n v="90"/>
    <n v="15.6"/>
    <x v="2"/>
    <n v="23.7"/>
    <x v="2"/>
    <n v="15.6"/>
    <x v="1"/>
    <n v="15.1"/>
    <x v="0"/>
    <x v="0"/>
  </r>
  <r>
    <x v="4"/>
    <n v="14"/>
    <x v="1"/>
    <n v="39"/>
    <d v="2022-01-30T00:00:00"/>
    <n v="9"/>
    <n v="65"/>
    <n v="25"/>
    <n v="3.5"/>
    <n v="55"/>
    <n v="64"/>
    <n v="14"/>
    <x v="2"/>
    <n v="21.5"/>
    <x v="2"/>
    <n v="13.9"/>
    <x v="1"/>
    <n v="14.2"/>
    <x v="0"/>
    <x v="0"/>
  </r>
  <r>
    <x v="5"/>
    <n v="33"/>
    <x v="0"/>
    <n v="134"/>
    <d v="2022-01-31T00:00:00"/>
    <n v="17"/>
    <n v="65.34"/>
    <n v="26"/>
    <n v="4.0999999999999996"/>
    <n v="52.3"/>
    <n v="93"/>
    <n v="16.2"/>
    <x v="1"/>
    <n v="18.899999999999999"/>
    <x v="3"/>
    <n v="13.8"/>
    <x v="2"/>
    <n v="10.7"/>
    <x v="0"/>
    <x v="0"/>
  </r>
  <r>
    <x v="5"/>
    <n v="33"/>
    <x v="1"/>
    <n v="27"/>
    <d v="2022-02-01T00:00:00"/>
    <n v="13"/>
    <n v="60.2"/>
    <n v="27"/>
    <n v="3.6"/>
    <n v="50.5"/>
    <n v="76"/>
    <n v="15"/>
    <x v="1"/>
    <n v="17.8"/>
    <x v="3"/>
    <n v="12"/>
    <x v="2"/>
    <n v="9.5"/>
    <x v="0"/>
    <x v="1"/>
  </r>
  <r>
    <x v="0"/>
    <n v="91"/>
    <x v="0"/>
    <n v="25"/>
    <d v="2022-02-02T00:00:00"/>
    <n v="47"/>
    <n v="54.88"/>
    <n v="77"/>
    <n v="4.4000000000000004"/>
    <n v="61.5"/>
    <n v="66"/>
    <n v="17.100000000000001"/>
    <x v="0"/>
    <n v="6.2"/>
    <x v="0"/>
    <n v="17.399999999999999"/>
    <x v="0"/>
    <n v="22.2"/>
    <x v="0"/>
    <x v="1"/>
  </r>
  <r>
    <x v="0"/>
    <n v="91"/>
    <x v="1"/>
    <n v="300"/>
    <d v="2022-02-03T00:00:00"/>
    <n v="35"/>
    <n v="56.3"/>
    <n v="73"/>
    <n v="3.9"/>
    <n v="59.2"/>
    <n v="56"/>
    <n v="16"/>
    <x v="0"/>
    <n v="6"/>
    <x v="0"/>
    <n v="16.8"/>
    <x v="0"/>
    <n v="21.5"/>
    <x v="0"/>
    <x v="1"/>
  </r>
  <r>
    <x v="1"/>
    <n v="44"/>
    <x v="0"/>
    <n v="78"/>
    <d v="2022-02-04T00:00:00"/>
    <n v="44"/>
    <n v="91.47"/>
    <n v="49"/>
    <n v="2.7"/>
    <n v="47.8"/>
    <n v="32"/>
    <n v="18"/>
    <x v="1"/>
    <n v="27.5"/>
    <x v="0"/>
    <n v="8.1"/>
    <x v="1"/>
    <n v="6.9"/>
    <x v="0"/>
    <x v="1"/>
  </r>
  <r>
    <x v="1"/>
    <n v="44"/>
    <x v="1"/>
    <n v="350"/>
    <d v="2022-02-05T00:00:00"/>
    <n v="32"/>
    <n v="85.3"/>
    <n v="35"/>
    <n v="2.5"/>
    <n v="45"/>
    <n v="29"/>
    <n v="17.5"/>
    <x v="1"/>
    <n v="26"/>
    <x v="0"/>
    <n v="7.5"/>
    <x v="1"/>
    <n v="6.3"/>
    <x v="0"/>
    <x v="1"/>
  </r>
  <r>
    <x v="2"/>
    <n v="26"/>
    <x v="0"/>
    <n v="27"/>
    <d v="2022-02-06T00:00:00"/>
    <n v="8"/>
    <n v="6.04"/>
    <n v="78"/>
    <n v="3.2"/>
    <n v="48.7"/>
    <n v="34"/>
    <n v="5.8"/>
    <x v="2"/>
    <n v="23.6"/>
    <x v="0"/>
    <n v="18.399999999999999"/>
    <x v="0"/>
    <n v="11.6"/>
    <x v="0"/>
    <x v="1"/>
  </r>
  <r>
    <x v="2"/>
    <n v="26"/>
    <x v="1"/>
    <n v="30"/>
    <d v="2022-02-07T00:00:00"/>
    <n v="10"/>
    <n v="7.5"/>
    <n v="75"/>
    <n v="3"/>
    <n v="46.2"/>
    <n v="27"/>
    <n v="5.5"/>
    <x v="2"/>
    <n v="22"/>
    <x v="0"/>
    <n v="16.7"/>
    <x v="0"/>
    <n v="10.8"/>
    <x v="0"/>
    <x v="1"/>
  </r>
  <r>
    <x v="3"/>
    <n v="68"/>
    <x v="0"/>
    <n v="439"/>
    <d v="2022-02-08T00:00:00"/>
    <n v="11"/>
    <n v="90"/>
    <n v="54"/>
    <n v="3.3"/>
    <n v="7.8"/>
    <n v="33"/>
    <n v="11"/>
    <x v="0"/>
    <n v="5.3"/>
    <x v="1"/>
    <n v="20.5"/>
    <x v="1"/>
    <n v="19.5"/>
    <x v="0"/>
    <x v="1"/>
  </r>
  <r>
    <x v="3"/>
    <n v="68"/>
    <x v="1"/>
    <n v="350"/>
    <d v="2022-02-09T00:00:00"/>
    <n v="9"/>
    <n v="88"/>
    <n v="50"/>
    <n v="3.1"/>
    <n v="64"/>
    <n v="29"/>
    <n v="10.199999999999999"/>
    <x v="0"/>
    <n v="4.8"/>
    <x v="1"/>
    <n v="19.7"/>
    <x v="1"/>
    <n v="18"/>
    <x v="0"/>
    <x v="1"/>
  </r>
  <r>
    <x v="4"/>
    <n v="14"/>
    <x v="0"/>
    <n v="50"/>
    <d v="2022-02-10T00:00:00"/>
    <n v="14"/>
    <n v="70.63"/>
    <n v="41"/>
    <n v="3.9"/>
    <n v="59.4"/>
    <n v="89"/>
    <n v="15.6"/>
    <x v="2"/>
    <n v="23.7"/>
    <x v="2"/>
    <n v="15.6"/>
    <x v="1"/>
    <n v="15.1"/>
    <x v="0"/>
    <x v="1"/>
  </r>
  <r>
    <x v="4"/>
    <n v="14"/>
    <x v="1"/>
    <n v="80"/>
    <d v="2022-02-11T00:00:00"/>
    <n v="10"/>
    <n v="65"/>
    <n v="25"/>
    <n v="3.5"/>
    <n v="55"/>
    <n v="65"/>
    <n v="14"/>
    <x v="2"/>
    <n v="21.5"/>
    <x v="2"/>
    <n v="13.9"/>
    <x v="1"/>
    <n v="14.2"/>
    <x v="0"/>
    <x v="1"/>
  </r>
  <r>
    <x v="5"/>
    <n v="33"/>
    <x v="0"/>
    <n v="87"/>
    <d v="2022-02-12T00:00:00"/>
    <n v="19"/>
    <n v="65.34"/>
    <n v="26"/>
    <n v="4.0999999999999996"/>
    <n v="52.3"/>
    <n v="93"/>
    <n v="16.2"/>
    <x v="1"/>
    <n v="18.899999999999999"/>
    <x v="3"/>
    <n v="13.8"/>
    <x v="2"/>
    <n v="10.7"/>
    <x v="0"/>
    <x v="1"/>
  </r>
  <r>
    <x v="5"/>
    <n v="33"/>
    <x v="1"/>
    <n v="250"/>
    <d v="2022-02-13T00:00:00"/>
    <n v="15"/>
    <n v="60.2"/>
    <n v="27"/>
    <n v="3.8"/>
    <n v="50.5"/>
    <n v="75"/>
    <n v="15"/>
    <x v="1"/>
    <n v="17.8"/>
    <x v="3"/>
    <n v="12"/>
    <x v="2"/>
    <n v="9.5"/>
    <x v="0"/>
    <x v="1"/>
  </r>
  <r>
    <x v="0"/>
    <n v="91"/>
    <x v="0"/>
    <n v="40"/>
    <d v="2022-02-14T00:00:00"/>
    <n v="47"/>
    <n v="54.88"/>
    <n v="77"/>
    <n v="4.4000000000000004"/>
    <n v="61.5"/>
    <n v="66"/>
    <n v="17.100000000000001"/>
    <x v="0"/>
    <n v="6.2"/>
    <x v="0"/>
    <n v="17.399999999999999"/>
    <x v="0"/>
    <n v="22.2"/>
    <x v="0"/>
    <x v="1"/>
  </r>
  <r>
    <x v="0"/>
    <n v="91"/>
    <x v="1"/>
    <n v="30"/>
    <d v="2022-02-15T00:00:00"/>
    <n v="35"/>
    <n v="56.3"/>
    <n v="73"/>
    <n v="3.9"/>
    <n v="59.2"/>
    <n v="56"/>
    <n v="16"/>
    <x v="0"/>
    <n v="6"/>
    <x v="0"/>
    <n v="16.8"/>
    <x v="0"/>
    <n v="21.5"/>
    <x v="0"/>
    <x v="1"/>
  </r>
  <r>
    <x v="1"/>
    <n v="44"/>
    <x v="0"/>
    <n v="46"/>
    <d v="2022-02-16T00:00:00"/>
    <n v="44"/>
    <n v="91.47"/>
    <n v="49"/>
    <n v="2.7"/>
    <n v="47.8"/>
    <n v="32"/>
    <n v="18"/>
    <x v="1"/>
    <n v="27.5"/>
    <x v="0"/>
    <n v="8.1"/>
    <x v="1"/>
    <n v="6.9"/>
    <x v="0"/>
    <x v="1"/>
  </r>
  <r>
    <x v="1"/>
    <n v="44"/>
    <x v="1"/>
    <n v="135"/>
    <d v="2022-02-17T00:00:00"/>
    <n v="32"/>
    <n v="85.3"/>
    <n v="35"/>
    <n v="2.5"/>
    <n v="45"/>
    <n v="29"/>
    <n v="17.5"/>
    <x v="1"/>
    <n v="26"/>
    <x v="0"/>
    <n v="7.5"/>
    <x v="1"/>
    <n v="6.3"/>
    <x v="0"/>
    <x v="1"/>
  </r>
  <r>
    <x v="2"/>
    <n v="26"/>
    <x v="0"/>
    <n v="42"/>
    <d v="2022-02-18T00:00:00"/>
    <n v="8"/>
    <n v="6.04"/>
    <n v="78"/>
    <n v="3.2"/>
    <n v="48.7"/>
    <n v="34"/>
    <n v="5.8"/>
    <x v="2"/>
    <n v="23.6"/>
    <x v="0"/>
    <n v="18.399999999999999"/>
    <x v="0"/>
    <n v="11.6"/>
    <x v="0"/>
    <x v="1"/>
  </r>
  <r>
    <x v="2"/>
    <n v="26"/>
    <x v="1"/>
    <n v="30"/>
    <d v="2022-02-19T00:00:00"/>
    <n v="10"/>
    <n v="7.5"/>
    <n v="75"/>
    <n v="3"/>
    <n v="46.2"/>
    <n v="27"/>
    <n v="5.5"/>
    <x v="2"/>
    <n v="22"/>
    <x v="0"/>
    <n v="16.7"/>
    <x v="0"/>
    <n v="10.8"/>
    <x v="0"/>
    <x v="1"/>
  </r>
  <r>
    <x v="3"/>
    <n v="68"/>
    <x v="0"/>
    <n v="43"/>
    <d v="2022-02-20T00:00:00"/>
    <n v="11"/>
    <n v="90"/>
    <n v="54"/>
    <n v="3.3"/>
    <n v="7.8"/>
    <n v="33"/>
    <n v="11"/>
    <x v="0"/>
    <n v="5.3"/>
    <x v="1"/>
    <n v="20.5"/>
    <x v="1"/>
    <n v="19.5"/>
    <x v="0"/>
    <x v="1"/>
  </r>
  <r>
    <x v="3"/>
    <n v="68"/>
    <x v="1"/>
    <n v="35"/>
    <d v="2022-02-21T00:00:00"/>
    <n v="9"/>
    <n v="88"/>
    <n v="50"/>
    <n v="3.1"/>
    <n v="4"/>
    <n v="29"/>
    <n v="10.199999999999999"/>
    <x v="0"/>
    <n v="4.8"/>
    <x v="1"/>
    <n v="19.7"/>
    <x v="1"/>
    <n v="18"/>
    <x v="0"/>
    <x v="1"/>
  </r>
  <r>
    <x v="4"/>
    <n v="14"/>
    <x v="0"/>
    <n v="100"/>
    <d v="2022-02-22T00:00:00"/>
    <n v="14"/>
    <n v="70.63"/>
    <n v="41"/>
    <n v="3.9"/>
    <n v="59.4"/>
    <n v="89"/>
    <n v="15.6"/>
    <x v="2"/>
    <n v="23.7"/>
    <x v="2"/>
    <n v="15.6"/>
    <x v="1"/>
    <n v="15.1"/>
    <x v="0"/>
    <x v="1"/>
  </r>
  <r>
    <x v="4"/>
    <n v="14"/>
    <x v="1"/>
    <n v="8"/>
    <d v="2022-02-23T00:00:00"/>
    <n v="10"/>
    <n v="65"/>
    <n v="25"/>
    <n v="3.5"/>
    <n v="55"/>
    <n v="65"/>
    <n v="14"/>
    <x v="2"/>
    <n v="21.5"/>
    <x v="2"/>
    <n v="13.9"/>
    <x v="1"/>
    <n v="14.2"/>
    <x v="0"/>
    <x v="1"/>
  </r>
  <r>
    <x v="5"/>
    <n v="33"/>
    <x v="0"/>
    <n v="38"/>
    <d v="2022-02-24T00:00:00"/>
    <n v="19"/>
    <n v="65.34"/>
    <n v="26"/>
    <n v="4.0999999999999996"/>
    <n v="20"/>
    <n v="93"/>
    <n v="16.2"/>
    <x v="1"/>
    <n v="18.899999999999999"/>
    <x v="3"/>
    <n v="13.8"/>
    <x v="2"/>
    <n v="10.7"/>
    <x v="0"/>
    <x v="1"/>
  </r>
  <r>
    <x v="5"/>
    <n v="33"/>
    <x v="1"/>
    <n v="25"/>
    <d v="2022-02-25T00:00:00"/>
    <n v="15"/>
    <n v="60.2"/>
    <n v="27"/>
    <n v="3.8"/>
    <n v="50.5"/>
    <n v="75"/>
    <n v="15"/>
    <x v="1"/>
    <n v="17.8"/>
    <x v="3"/>
    <n v="12"/>
    <x v="2"/>
    <n v="9.5"/>
    <x v="0"/>
    <x v="1"/>
  </r>
  <r>
    <x v="0"/>
    <n v="91"/>
    <x v="0"/>
    <n v="40"/>
    <d v="2022-02-26T00:00:00"/>
    <n v="47"/>
    <n v="54.88"/>
    <n v="77"/>
    <n v="4.4000000000000004"/>
    <n v="1.5"/>
    <n v="66"/>
    <n v="17.100000000000001"/>
    <x v="0"/>
    <n v="6.2"/>
    <x v="0"/>
    <n v="17.399999999999999"/>
    <x v="0"/>
    <n v="22.2"/>
    <x v="0"/>
    <x v="1"/>
  </r>
  <r>
    <x v="0"/>
    <n v="91"/>
    <x v="1"/>
    <n v="30"/>
    <d v="2022-02-27T00:00:00"/>
    <n v="35"/>
    <n v="56.3"/>
    <n v="73"/>
    <n v="3.9"/>
    <n v="59.2"/>
    <n v="56"/>
    <n v="16"/>
    <x v="0"/>
    <n v="6"/>
    <x v="0"/>
    <n v="16.8"/>
    <x v="0"/>
    <n v="21.5"/>
    <x v="0"/>
    <x v="1"/>
  </r>
  <r>
    <x v="1"/>
    <n v="44"/>
    <x v="0"/>
    <n v="46"/>
    <d v="2022-02-28T00:00:00"/>
    <n v="44"/>
    <n v="91.47"/>
    <n v="49"/>
    <n v="2.7"/>
    <n v="47.8"/>
    <n v="32"/>
    <n v="18"/>
    <x v="1"/>
    <n v="27.5"/>
    <x v="0"/>
    <n v="8.1"/>
    <x v="1"/>
    <n v="6.9"/>
    <x v="0"/>
    <x v="1"/>
  </r>
  <r>
    <x v="1"/>
    <n v="44"/>
    <x v="1"/>
    <n v="135"/>
    <d v="2022-03-01T00:00:00"/>
    <n v="32"/>
    <n v="85.3"/>
    <n v="35"/>
    <n v="2.5"/>
    <n v="45"/>
    <n v="29"/>
    <n v="17.5"/>
    <x v="1"/>
    <n v="26"/>
    <x v="0"/>
    <n v="7.5"/>
    <x v="1"/>
    <n v="6.3"/>
    <x v="0"/>
    <x v="2"/>
  </r>
  <r>
    <x v="2"/>
    <n v="26"/>
    <x v="0"/>
    <n v="42"/>
    <d v="2022-03-02T00:00:00"/>
    <n v="8"/>
    <n v="6.04"/>
    <n v="78"/>
    <n v="3.2"/>
    <n v="48.7"/>
    <n v="34"/>
    <n v="5.8"/>
    <x v="2"/>
    <n v="23.6"/>
    <x v="0"/>
    <n v="18.399999999999999"/>
    <x v="0"/>
    <n v="11.6"/>
    <x v="0"/>
    <x v="2"/>
  </r>
  <r>
    <x v="2"/>
    <n v="26"/>
    <x v="1"/>
    <n v="30"/>
    <d v="2022-03-03T00:00:00"/>
    <n v="10"/>
    <n v="7.5"/>
    <n v="75"/>
    <n v="3"/>
    <n v="46.2"/>
    <n v="27"/>
    <n v="5.5"/>
    <x v="2"/>
    <n v="22"/>
    <x v="0"/>
    <n v="16.7"/>
    <x v="0"/>
    <n v="10.8"/>
    <x v="0"/>
    <x v="2"/>
  </r>
  <r>
    <x v="3"/>
    <n v="68"/>
    <x v="0"/>
    <n v="143"/>
    <d v="2022-03-04T00:00:00"/>
    <n v="11"/>
    <n v="90"/>
    <n v="54"/>
    <n v="3.3"/>
    <n v="67.8"/>
    <n v="33"/>
    <n v="11"/>
    <x v="0"/>
    <n v="5.3"/>
    <x v="1"/>
    <n v="20.5"/>
    <x v="1"/>
    <n v="19.5"/>
    <x v="0"/>
    <x v="2"/>
  </r>
  <r>
    <x v="3"/>
    <n v="68"/>
    <x v="1"/>
    <n v="35"/>
    <d v="2022-03-05T00:00:00"/>
    <n v="9"/>
    <n v="88"/>
    <n v="50"/>
    <n v="3.1"/>
    <n v="64"/>
    <n v="29"/>
    <n v="10.199999999999999"/>
    <x v="0"/>
    <n v="4.8"/>
    <x v="1"/>
    <n v="19.7"/>
    <x v="1"/>
    <n v="18"/>
    <x v="0"/>
    <x v="2"/>
  </r>
  <r>
    <x v="4"/>
    <n v="14"/>
    <x v="0"/>
    <n v="10"/>
    <d v="2022-03-06T00:00:00"/>
    <n v="14"/>
    <n v="70.63"/>
    <n v="41"/>
    <n v="3.9"/>
    <n v="59.4"/>
    <n v="89"/>
    <n v="15.6"/>
    <x v="2"/>
    <n v="23.7"/>
    <x v="2"/>
    <n v="15.6"/>
    <x v="1"/>
    <n v="15.1"/>
    <x v="0"/>
    <x v="2"/>
  </r>
  <r>
    <x v="4"/>
    <n v="14"/>
    <x v="1"/>
    <n v="80"/>
    <d v="2022-03-07T00:00:00"/>
    <n v="10"/>
    <n v="65"/>
    <n v="25"/>
    <n v="3.5"/>
    <n v="55"/>
    <n v="65"/>
    <n v="14"/>
    <x v="2"/>
    <n v="21.5"/>
    <x v="2"/>
    <n v="13.9"/>
    <x v="1"/>
    <n v="14.2"/>
    <x v="0"/>
    <x v="2"/>
  </r>
  <r>
    <x v="5"/>
    <n v="33"/>
    <x v="0"/>
    <n v="38"/>
    <d v="2022-03-08T00:00:00"/>
    <n v="19"/>
    <n v="65.34"/>
    <n v="26"/>
    <n v="4.0999999999999996"/>
    <n v="52.3"/>
    <n v="93"/>
    <n v="16.2"/>
    <x v="1"/>
    <n v="18.899999999999999"/>
    <x v="3"/>
    <n v="13.8"/>
    <x v="2"/>
    <n v="10.7"/>
    <x v="0"/>
    <x v="2"/>
  </r>
  <r>
    <x v="5"/>
    <n v="33"/>
    <x v="1"/>
    <n v="125"/>
    <d v="2022-03-09T00:00:00"/>
    <n v="15"/>
    <n v="60.2"/>
    <n v="27"/>
    <n v="3.8"/>
    <n v="50.5"/>
    <n v="75"/>
    <n v="15"/>
    <x v="1"/>
    <n v="17.8"/>
    <x v="3"/>
    <n v="12"/>
    <x v="2"/>
    <n v="9.5"/>
    <x v="0"/>
    <x v="2"/>
  </r>
  <r>
    <x v="0"/>
    <n v="91"/>
    <x v="0"/>
    <n v="56"/>
    <d v="2022-03-10T00:00:00"/>
    <n v="55"/>
    <n v="54.88"/>
    <n v="77"/>
    <n v="4.3"/>
    <n v="1.5"/>
    <n v="71"/>
    <n v="17.100000000000001"/>
    <x v="0"/>
    <n v="6.2"/>
    <x v="0"/>
    <n v="17.399999999999999"/>
    <x v="0"/>
    <n v="22.2"/>
    <x v="0"/>
    <x v="2"/>
  </r>
  <r>
    <x v="0"/>
    <n v="91"/>
    <x v="1"/>
    <n v="24"/>
    <d v="2022-03-11T00:00:00"/>
    <n v="28"/>
    <n v="56.3"/>
    <n v="73"/>
    <n v="3.5"/>
    <n v="5"/>
    <n v="55"/>
    <n v="16"/>
    <x v="0"/>
    <n v="6"/>
    <x v="0"/>
    <n v="16.8"/>
    <x v="0"/>
    <n v="21.5"/>
    <x v="0"/>
    <x v="2"/>
  </r>
  <r>
    <x v="1"/>
    <n v="44"/>
    <x v="0"/>
    <n v="40"/>
    <d v="2022-03-12T00:00:00"/>
    <n v="48"/>
    <n v="91.47"/>
    <n v="49"/>
    <n v="3"/>
    <n v="47.8"/>
    <n v="33"/>
    <n v="18"/>
    <x v="1"/>
    <n v="27.5"/>
    <x v="0"/>
    <n v="8.1"/>
    <x v="1"/>
    <n v="6.9"/>
    <x v="0"/>
    <x v="2"/>
  </r>
  <r>
    <x v="1"/>
    <n v="44"/>
    <x v="1"/>
    <n v="37"/>
    <d v="2022-03-13T00:00:00"/>
    <n v="39"/>
    <n v="85.3"/>
    <n v="35"/>
    <n v="2.8"/>
    <n v="45"/>
    <n v="28"/>
    <n v="17.5"/>
    <x v="1"/>
    <n v="26"/>
    <x v="0"/>
    <n v="7.5"/>
    <x v="1"/>
    <n v="6.3"/>
    <x v="0"/>
    <x v="2"/>
  </r>
  <r>
    <x v="2"/>
    <n v="26"/>
    <x v="0"/>
    <n v="133"/>
    <d v="2022-03-14T00:00:00"/>
    <n v="10"/>
    <n v="6.04"/>
    <n v="78"/>
    <n v="3.1"/>
    <n v="48.7"/>
    <n v="35"/>
    <n v="5.8"/>
    <x v="2"/>
    <n v="23.6"/>
    <x v="0"/>
    <n v="18.399999999999999"/>
    <x v="0"/>
    <n v="11.6"/>
    <x v="0"/>
    <x v="2"/>
  </r>
  <r>
    <x v="2"/>
    <n v="26"/>
    <x v="1"/>
    <n v="39"/>
    <d v="2022-03-15T00:00:00"/>
    <n v="15"/>
    <n v="7.5"/>
    <n v="75"/>
    <n v="3.2"/>
    <n v="46.2"/>
    <n v="30"/>
    <n v="5.5"/>
    <x v="2"/>
    <n v="22"/>
    <x v="0"/>
    <n v="16.7"/>
    <x v="0"/>
    <n v="10.8"/>
    <x v="0"/>
    <x v="2"/>
  </r>
  <r>
    <x v="3"/>
    <n v="68"/>
    <x v="0"/>
    <n v="60"/>
    <d v="2022-03-16T00:00:00"/>
    <n v="16"/>
    <n v="90"/>
    <n v="54"/>
    <n v="3.5"/>
    <n v="67.8"/>
    <n v="34"/>
    <n v="11"/>
    <x v="0"/>
    <n v="5.3"/>
    <x v="1"/>
    <n v="20.5"/>
    <x v="1"/>
    <n v="19.5"/>
    <x v="0"/>
    <x v="2"/>
  </r>
  <r>
    <x v="3"/>
    <n v="68"/>
    <x v="1"/>
    <n v="333"/>
    <d v="2022-03-17T00:00:00"/>
    <n v="12"/>
    <n v="88"/>
    <n v="50"/>
    <n v="3.2"/>
    <n v="64"/>
    <n v="29"/>
    <n v="10.199999999999999"/>
    <x v="0"/>
    <n v="4.8"/>
    <x v="1"/>
    <n v="19.7"/>
    <x v="1"/>
    <n v="18"/>
    <x v="0"/>
    <x v="2"/>
  </r>
  <r>
    <x v="4"/>
    <n v="14"/>
    <x v="0"/>
    <n v="6"/>
    <d v="2022-03-18T00:00:00"/>
    <n v="18"/>
    <n v="70.63"/>
    <n v="41"/>
    <n v="4.0999999999999996"/>
    <n v="59.4"/>
    <n v="95"/>
    <n v="15.6"/>
    <x v="2"/>
    <n v="23.7"/>
    <x v="2"/>
    <n v="15.6"/>
    <x v="1"/>
    <n v="15.1"/>
    <x v="0"/>
    <x v="2"/>
  </r>
  <r>
    <x v="4"/>
    <n v="14"/>
    <x v="1"/>
    <n v="13"/>
    <d v="2022-03-19T00:00:00"/>
    <n v="9"/>
    <n v="65"/>
    <n v="25"/>
    <n v="3.4"/>
    <n v="55"/>
    <n v="64"/>
    <n v="14"/>
    <x v="2"/>
    <n v="21.5"/>
    <x v="2"/>
    <n v="13.9"/>
    <x v="1"/>
    <n v="14.2"/>
    <x v="0"/>
    <x v="2"/>
  </r>
  <r>
    <x v="5"/>
    <n v="33"/>
    <x v="0"/>
    <n v="32"/>
    <d v="2022-03-20T00:00:00"/>
    <n v="19"/>
    <n v="65.34"/>
    <n v="26"/>
    <n v="4.2"/>
    <n v="2"/>
    <n v="94"/>
    <n v="16.2"/>
    <x v="1"/>
    <n v="18.899999999999999"/>
    <x v="3"/>
    <n v="13.8"/>
    <x v="2"/>
    <n v="10.7"/>
    <x v="0"/>
    <x v="2"/>
  </r>
  <r>
    <x v="5"/>
    <n v="33"/>
    <x v="1"/>
    <n v="29"/>
    <d v="2022-03-21T00:00:00"/>
    <n v="14"/>
    <n v="60.2"/>
    <n v="27"/>
    <n v="3.9"/>
    <n v="50.5"/>
    <n v="75"/>
    <n v="15"/>
    <x v="1"/>
    <n v="17.8"/>
    <x v="3"/>
    <n v="12"/>
    <x v="2"/>
    <n v="9.5"/>
    <x v="0"/>
    <x v="2"/>
  </r>
  <r>
    <x v="0"/>
    <n v="91"/>
    <x v="0"/>
    <n v="156"/>
    <d v="2022-03-22T00:00:00"/>
    <n v="55"/>
    <n v="54.88"/>
    <n v="77"/>
    <n v="4.3"/>
    <n v="61.5"/>
    <n v="71"/>
    <n v="17.100000000000001"/>
    <x v="0"/>
    <n v="6.2"/>
    <x v="0"/>
    <n v="17.399999999999999"/>
    <x v="0"/>
    <n v="22.2"/>
    <x v="0"/>
    <x v="2"/>
  </r>
  <r>
    <x v="0"/>
    <n v="91"/>
    <x v="1"/>
    <n v="24"/>
    <d v="2022-03-23T00:00:00"/>
    <n v="28"/>
    <n v="56.3"/>
    <n v="73"/>
    <n v="3.5"/>
    <n v="59.2"/>
    <n v="55"/>
    <n v="16"/>
    <x v="0"/>
    <n v="6"/>
    <x v="0"/>
    <n v="16.8"/>
    <x v="0"/>
    <n v="21.5"/>
    <x v="0"/>
    <x v="2"/>
  </r>
  <r>
    <x v="1"/>
    <n v="44"/>
    <x v="0"/>
    <n v="40"/>
    <d v="2022-03-24T00:00:00"/>
    <n v="48"/>
    <n v="91.47"/>
    <n v="49"/>
    <n v="3"/>
    <n v="47.8"/>
    <n v="33"/>
    <n v="18"/>
    <x v="1"/>
    <n v="27.5"/>
    <x v="0"/>
    <n v="8.1"/>
    <x v="1"/>
    <n v="6.9"/>
    <x v="0"/>
    <x v="2"/>
  </r>
  <r>
    <x v="1"/>
    <n v="44"/>
    <x v="1"/>
    <n v="37"/>
    <d v="2022-03-25T00:00:00"/>
    <n v="39"/>
    <n v="85.3"/>
    <n v="35"/>
    <n v="2.8"/>
    <n v="45"/>
    <n v="28"/>
    <n v="17.5"/>
    <x v="1"/>
    <n v="26"/>
    <x v="0"/>
    <n v="7.5"/>
    <x v="1"/>
    <n v="6.3"/>
    <x v="0"/>
    <x v="2"/>
  </r>
  <r>
    <x v="2"/>
    <n v="26"/>
    <x v="0"/>
    <n v="33"/>
    <d v="2022-03-26T00:00:00"/>
    <n v="10"/>
    <n v="6.04"/>
    <n v="78"/>
    <n v="3.1"/>
    <n v="48.7"/>
    <n v="35"/>
    <n v="5.8"/>
    <x v="2"/>
    <n v="23.6"/>
    <x v="0"/>
    <n v="18.399999999999999"/>
    <x v="0"/>
    <n v="11.6"/>
    <x v="0"/>
    <x v="2"/>
  </r>
  <r>
    <x v="2"/>
    <n v="26"/>
    <x v="1"/>
    <n v="139"/>
    <d v="2022-03-27T00:00:00"/>
    <n v="15"/>
    <n v="7.5"/>
    <n v="75"/>
    <n v="3.2"/>
    <n v="46.2"/>
    <n v="30"/>
    <n v="5.5"/>
    <x v="2"/>
    <n v="22"/>
    <x v="0"/>
    <n v="16.7"/>
    <x v="0"/>
    <n v="10.8"/>
    <x v="0"/>
    <x v="2"/>
  </r>
  <r>
    <x v="3"/>
    <n v="68"/>
    <x v="0"/>
    <n v="160"/>
    <d v="2022-03-28T00:00:00"/>
    <n v="16"/>
    <n v="90"/>
    <n v="54"/>
    <n v="3.5"/>
    <n v="67.8"/>
    <n v="34"/>
    <n v="11"/>
    <x v="0"/>
    <n v="5.3"/>
    <x v="1"/>
    <n v="20.5"/>
    <x v="1"/>
    <n v="19.5"/>
    <x v="0"/>
    <x v="2"/>
  </r>
  <r>
    <x v="3"/>
    <n v="68"/>
    <x v="1"/>
    <n v="3"/>
    <d v="2022-03-29T00:00:00"/>
    <n v="12"/>
    <n v="88"/>
    <n v="50"/>
    <n v="3.2"/>
    <n v="4"/>
    <n v="29"/>
    <n v="10.199999999999999"/>
    <x v="0"/>
    <n v="4.8"/>
    <x v="1"/>
    <n v="19.7"/>
    <x v="1"/>
    <n v="18"/>
    <x v="0"/>
    <x v="2"/>
  </r>
  <r>
    <x v="4"/>
    <n v="14"/>
    <x v="0"/>
    <n v="6"/>
    <d v="2022-03-30T00:00:00"/>
    <n v="18"/>
    <n v="70.63"/>
    <n v="41"/>
    <n v="4.0999999999999996"/>
    <n v="59.4"/>
    <n v="95"/>
    <n v="15.6"/>
    <x v="2"/>
    <n v="23.7"/>
    <x v="2"/>
    <n v="15.6"/>
    <x v="1"/>
    <n v="15.1"/>
    <x v="0"/>
    <x v="2"/>
  </r>
  <r>
    <x v="4"/>
    <n v="14"/>
    <x v="1"/>
    <n v="3"/>
    <d v="2022-03-31T00:00:00"/>
    <n v="9"/>
    <n v="65"/>
    <n v="25"/>
    <n v="3.4"/>
    <n v="55"/>
    <n v="64"/>
    <n v="14"/>
    <x v="2"/>
    <n v="21.5"/>
    <x v="2"/>
    <n v="13.9"/>
    <x v="1"/>
    <n v="14.2"/>
    <x v="0"/>
    <x v="2"/>
  </r>
  <r>
    <x v="5"/>
    <n v="33"/>
    <x v="0"/>
    <n v="32"/>
    <d v="2022-04-01T00:00:00"/>
    <n v="19"/>
    <n v="65.34"/>
    <n v="26"/>
    <n v="4.2"/>
    <n v="52.3"/>
    <n v="94"/>
    <n v="16.2"/>
    <x v="1"/>
    <n v="18.899999999999999"/>
    <x v="3"/>
    <n v="13.8"/>
    <x v="2"/>
    <n v="10.7"/>
    <x v="0"/>
    <x v="3"/>
  </r>
  <r>
    <x v="5"/>
    <n v="33"/>
    <x v="1"/>
    <n v="129"/>
    <d v="2022-04-02T00:00:00"/>
    <n v="14"/>
    <n v="60.2"/>
    <n v="27"/>
    <n v="3.9"/>
    <n v="50.5"/>
    <n v="75"/>
    <n v="15"/>
    <x v="1"/>
    <n v="17.8"/>
    <x v="3"/>
    <n v="12"/>
    <x v="2"/>
    <n v="9.5"/>
    <x v="0"/>
    <x v="3"/>
  </r>
  <r>
    <x v="0"/>
    <n v="91"/>
    <x v="0"/>
    <n v="58"/>
    <d v="2022-04-03T00:00:00"/>
    <n v="54"/>
    <n v="55.5"/>
    <n v="77"/>
    <n v="4.0999999999999996"/>
    <n v="60"/>
    <n v="72"/>
    <n v="17.3"/>
    <x v="0"/>
    <n v="6.5"/>
    <x v="0"/>
    <n v="18.2"/>
    <x v="0"/>
    <n v="23"/>
    <x v="0"/>
    <x v="3"/>
  </r>
  <r>
    <x v="0"/>
    <n v="91"/>
    <x v="1"/>
    <n v="22"/>
    <d v="2022-04-04T00:00:00"/>
    <n v="26"/>
    <n v="58"/>
    <n v="70"/>
    <n v="3.8"/>
    <n v="58"/>
    <n v="54"/>
    <n v="15.5"/>
    <x v="0"/>
    <n v="5.8"/>
    <x v="0"/>
    <n v="15"/>
    <x v="0"/>
    <n v="20"/>
    <x v="0"/>
    <x v="3"/>
  </r>
  <r>
    <x v="1"/>
    <n v="44"/>
    <x v="0"/>
    <n v="45"/>
    <d v="2022-04-05T00:00:00"/>
    <n v="49"/>
    <n v="90"/>
    <n v="45"/>
    <n v="3.1"/>
    <n v="48.5"/>
    <n v="33"/>
    <n v="18.5"/>
    <x v="1"/>
    <n v="25"/>
    <x v="0"/>
    <n v="9"/>
    <x v="1"/>
    <n v="7.5"/>
    <x v="0"/>
    <x v="3"/>
  </r>
  <r>
    <x v="1"/>
    <n v="44"/>
    <x v="1"/>
    <n v="134"/>
    <d v="2022-04-06T00:00:00"/>
    <n v="37"/>
    <n v="87"/>
    <n v="40"/>
    <n v="2.9"/>
    <n v="46"/>
    <n v="27"/>
    <n v="16.5"/>
    <x v="1"/>
    <n v="24"/>
    <x v="0"/>
    <n v="8"/>
    <x v="1"/>
    <n v="6.5"/>
    <x v="0"/>
    <x v="3"/>
  </r>
  <r>
    <x v="2"/>
    <n v="26"/>
    <x v="0"/>
    <n v="37"/>
    <d v="2022-04-07T00:00:00"/>
    <n v="8"/>
    <n v="5"/>
    <n v="76"/>
    <n v="3"/>
    <n v="47"/>
    <n v="37"/>
    <n v="6"/>
    <x v="2"/>
    <n v="20"/>
    <x v="0"/>
    <n v="16"/>
    <x v="0"/>
    <n v="12"/>
    <x v="0"/>
    <x v="3"/>
  </r>
  <r>
    <x v="2"/>
    <n v="26"/>
    <x v="1"/>
    <n v="29"/>
    <d v="2022-04-08T00:00:00"/>
    <n v="10"/>
    <n v="7"/>
    <n v="74"/>
    <n v="3.2"/>
    <n v="44"/>
    <n v="31"/>
    <n v="5.5"/>
    <x v="2"/>
    <n v="19"/>
    <x v="0"/>
    <n v="15"/>
    <x v="0"/>
    <n v="11.5"/>
    <x v="0"/>
    <x v="3"/>
  </r>
  <r>
    <x v="3"/>
    <n v="68"/>
    <x v="0"/>
    <n v="61"/>
    <d v="2022-04-09T00:00:00"/>
    <n v="14"/>
    <n v="91.5"/>
    <n v="55"/>
    <n v="3.6"/>
    <n v="68"/>
    <n v="35"/>
    <n v="12"/>
    <x v="0"/>
    <n v="5"/>
    <x v="1"/>
    <n v="18"/>
    <x v="1"/>
    <n v="19"/>
    <x v="0"/>
    <x v="3"/>
  </r>
  <r>
    <x v="3"/>
    <n v="68"/>
    <x v="1"/>
    <n v="130"/>
    <d v="2022-04-10T00:00:00"/>
    <n v="11"/>
    <n v="89"/>
    <n v="53"/>
    <n v="3"/>
    <n v="65"/>
    <n v="28"/>
    <n v="10"/>
    <x v="0"/>
    <n v="4.5"/>
    <x v="1"/>
    <n v="16"/>
    <x v="1"/>
    <n v="17"/>
    <x v="0"/>
    <x v="3"/>
  </r>
  <r>
    <x v="4"/>
    <n v="14"/>
    <x v="0"/>
    <n v="8"/>
    <d v="2022-04-11T00:00:00"/>
    <n v="17"/>
    <n v="72"/>
    <n v="42"/>
    <n v="4.2"/>
    <n v="0"/>
    <n v="96"/>
    <n v="14.5"/>
    <x v="2"/>
    <n v="21"/>
    <x v="2"/>
    <n v="16"/>
    <x v="1"/>
    <n v="15.5"/>
    <x v="0"/>
    <x v="3"/>
  </r>
  <r>
    <x v="4"/>
    <n v="14"/>
    <x v="1"/>
    <n v="115"/>
    <d v="2022-04-12T00:00:00"/>
    <n v="8"/>
    <n v="67"/>
    <n v="27"/>
    <n v="3.7"/>
    <n v="56"/>
    <n v="62"/>
    <n v="12.5"/>
    <x v="2"/>
    <n v="20.5"/>
    <x v="2"/>
    <n v="14"/>
    <x v="1"/>
    <n v="13.5"/>
    <x v="0"/>
    <x v="3"/>
  </r>
  <r>
    <x v="5"/>
    <n v="33"/>
    <x v="0"/>
    <n v="133"/>
    <d v="2022-04-13T00:00:00"/>
    <n v="20"/>
    <n v="63"/>
    <n v="28"/>
    <n v="4.3"/>
    <n v="53"/>
    <n v="96"/>
    <n v="15"/>
    <x v="1"/>
    <n v="19"/>
    <x v="3"/>
    <n v="14"/>
    <x v="2"/>
    <n v="11"/>
    <x v="0"/>
    <x v="3"/>
  </r>
  <r>
    <x v="5"/>
    <n v="33"/>
    <x v="1"/>
    <n v="26"/>
    <d v="2022-04-14T00:00:00"/>
    <n v="15"/>
    <n v="59"/>
    <n v="29"/>
    <n v="3.9"/>
    <n v="51"/>
    <n v="80"/>
    <n v="14"/>
    <x v="1"/>
    <n v="18"/>
    <x v="3"/>
    <n v="13"/>
    <x v="2"/>
    <n v="10"/>
    <x v="0"/>
    <x v="3"/>
  </r>
  <r>
    <x v="0"/>
    <n v="91"/>
    <x v="0"/>
    <n v="54"/>
    <d v="2022-04-15T00:00:00"/>
    <n v="52"/>
    <n v="54"/>
    <n v="77"/>
    <n v="4.4000000000000004"/>
    <n v="59"/>
    <n v="73"/>
    <n v="16"/>
    <x v="0"/>
    <n v="7"/>
    <x v="0"/>
    <n v="15"/>
    <x v="0"/>
    <n v="22"/>
    <x v="0"/>
    <x v="3"/>
  </r>
  <r>
    <x v="0"/>
    <n v="91"/>
    <x v="1"/>
    <n v="2"/>
    <d v="2022-04-16T00:00:00"/>
    <n v="27"/>
    <n v="56"/>
    <n v="70"/>
    <n v="3.8"/>
    <n v="58"/>
    <n v="58"/>
    <n v="14"/>
    <x v="0"/>
    <n v="6"/>
    <x v="0"/>
    <n v="14"/>
    <x v="0"/>
    <n v="21"/>
    <x v="0"/>
    <x v="3"/>
  </r>
  <r>
    <x v="1"/>
    <n v="44"/>
    <x v="0"/>
    <n v="42"/>
    <d v="2022-04-17T00:00:00"/>
    <n v="45"/>
    <n v="89"/>
    <n v="45"/>
    <n v="3.2"/>
    <n v="45"/>
    <n v="31"/>
    <n v="17"/>
    <x v="1"/>
    <n v="26"/>
    <x v="0"/>
    <n v="7"/>
    <x v="1"/>
    <n v="7"/>
    <x v="0"/>
    <x v="3"/>
  </r>
  <r>
    <x v="1"/>
    <n v="44"/>
    <x v="1"/>
    <n v="39"/>
    <d v="2022-04-18T00:00:00"/>
    <n v="38"/>
    <n v="85"/>
    <n v="35"/>
    <n v="2.8"/>
    <n v="44"/>
    <n v="27"/>
    <n v="16"/>
    <x v="1"/>
    <n v="25"/>
    <x v="0"/>
    <n v="6.5"/>
    <x v="1"/>
    <n v="6.5"/>
    <x v="0"/>
    <x v="3"/>
  </r>
  <r>
    <x v="2"/>
    <n v="26"/>
    <x v="0"/>
    <n v="34"/>
    <d v="2022-04-19T00:00:00"/>
    <n v="9"/>
    <n v="5.5"/>
    <n v="76"/>
    <n v="3.5"/>
    <n v="48"/>
    <n v="33"/>
    <n v="6.5"/>
    <x v="2"/>
    <n v="22"/>
    <x v="0"/>
    <n v="15"/>
    <x v="0"/>
    <n v="12"/>
    <x v="0"/>
    <x v="3"/>
  </r>
  <r>
    <x v="2"/>
    <n v="26"/>
    <x v="1"/>
    <n v="128"/>
    <d v="2022-04-20T00:00:00"/>
    <n v="12"/>
    <n v="6"/>
    <n v="75"/>
    <n v="3.1"/>
    <n v="45"/>
    <n v="28"/>
    <n v="5"/>
    <x v="2"/>
    <n v="21"/>
    <x v="0"/>
    <n v="14"/>
    <x v="0"/>
    <n v="11"/>
    <x v="0"/>
    <x v="3"/>
  </r>
  <r>
    <x v="0"/>
    <n v="91"/>
    <x v="0"/>
    <n v="56"/>
    <d v="2022-04-21T00:00:00"/>
    <n v="55"/>
    <n v="54.88"/>
    <n v="77"/>
    <n v="4.3"/>
    <n v="1.5"/>
    <n v="71"/>
    <n v="17.100000000000001"/>
    <x v="0"/>
    <n v="6.2"/>
    <x v="0"/>
    <n v="17.399999999999999"/>
    <x v="0"/>
    <n v="22.2"/>
    <x v="0"/>
    <x v="3"/>
  </r>
  <r>
    <x v="0"/>
    <n v="91"/>
    <x v="1"/>
    <n v="24"/>
    <d v="2022-04-22T00:00:00"/>
    <n v="28"/>
    <n v="56.3"/>
    <n v="73"/>
    <n v="3.5"/>
    <n v="59.2"/>
    <n v="55"/>
    <n v="16"/>
    <x v="0"/>
    <n v="6"/>
    <x v="0"/>
    <n v="16.8"/>
    <x v="0"/>
    <n v="21.5"/>
    <x v="0"/>
    <x v="3"/>
  </r>
  <r>
    <x v="0"/>
    <n v="91"/>
    <x v="2"/>
    <n v="8"/>
    <d v="2022-04-23T00:00:00"/>
    <n v="20"/>
    <n v="58"/>
    <n v="65"/>
    <n v="3.9"/>
    <n v="57.5"/>
    <n v="49"/>
    <n v="15.5"/>
    <x v="0"/>
    <n v="5.5"/>
    <x v="0"/>
    <n v="15.2"/>
    <x v="2"/>
    <n v="20"/>
    <x v="0"/>
    <x v="3"/>
  </r>
  <r>
    <x v="1"/>
    <n v="44"/>
    <x v="0"/>
    <n v="40"/>
    <d v="2022-04-24T00:00:00"/>
    <n v="48"/>
    <n v="91.47"/>
    <n v="49"/>
    <n v="3"/>
    <n v="47.8"/>
    <n v="33"/>
    <n v="18"/>
    <x v="1"/>
    <n v="27.5"/>
    <x v="0"/>
    <n v="8.1"/>
    <x v="1"/>
    <n v="6.9"/>
    <x v="0"/>
    <x v="3"/>
  </r>
  <r>
    <x v="1"/>
    <n v="44"/>
    <x v="1"/>
    <n v="37"/>
    <d v="2022-04-25T00:00:00"/>
    <n v="39"/>
    <n v="85.3"/>
    <n v="35"/>
    <n v="2.8"/>
    <n v="5"/>
    <n v="28"/>
    <n v="17.5"/>
    <x v="1"/>
    <n v="26"/>
    <x v="0"/>
    <n v="7.5"/>
    <x v="1"/>
    <n v="6.3"/>
    <x v="0"/>
    <x v="3"/>
  </r>
  <r>
    <x v="1"/>
    <n v="44"/>
    <x v="2"/>
    <n v="29"/>
    <d v="2022-04-26T00:00:00"/>
    <n v="30"/>
    <n v="87"/>
    <n v="30"/>
    <n v="3.2"/>
    <n v="46.5"/>
    <n v="93"/>
    <n v="14"/>
    <x v="1"/>
    <n v="24"/>
    <x v="0"/>
    <n v="6.8"/>
    <x v="1"/>
    <n v="6.1"/>
    <x v="0"/>
    <x v="3"/>
  </r>
  <r>
    <x v="2"/>
    <n v="26"/>
    <x v="0"/>
    <n v="33"/>
    <d v="2022-04-27T00:00:00"/>
    <n v="10"/>
    <n v="6.04"/>
    <n v="78"/>
    <n v="3.1"/>
    <n v="48.7"/>
    <n v="35"/>
    <n v="5.8"/>
    <x v="2"/>
    <n v="23.6"/>
    <x v="0"/>
    <n v="18.399999999999999"/>
    <x v="0"/>
    <n v="11.6"/>
    <x v="0"/>
    <x v="3"/>
  </r>
  <r>
    <x v="2"/>
    <n v="26"/>
    <x v="1"/>
    <n v="39"/>
    <d v="2022-04-28T00:00:00"/>
    <n v="15"/>
    <n v="7.5"/>
    <n v="75"/>
    <n v="3.2"/>
    <n v="46.2"/>
    <n v="30"/>
    <n v="5.5"/>
    <x v="2"/>
    <n v="22"/>
    <x v="0"/>
    <n v="16.7"/>
    <x v="0"/>
    <n v="10.8"/>
    <x v="0"/>
    <x v="3"/>
  </r>
  <r>
    <x v="2"/>
    <n v="26"/>
    <x v="2"/>
    <n v="20"/>
    <d v="2022-04-29T00:00:00"/>
    <n v="12"/>
    <n v="8"/>
    <n v="70"/>
    <n v="3.1"/>
    <n v="44"/>
    <n v="65"/>
    <n v="4"/>
    <x v="2"/>
    <n v="20"/>
    <x v="0"/>
    <n v="14"/>
    <x v="0"/>
    <n v="9.5"/>
    <x v="0"/>
    <x v="3"/>
  </r>
  <r>
    <x v="3"/>
    <n v="68"/>
    <x v="0"/>
    <n v="60"/>
    <d v="2022-04-30T00:00:00"/>
    <n v="16"/>
    <n v="90"/>
    <n v="54"/>
    <n v="3.5"/>
    <n v="7.8"/>
    <n v="34"/>
    <n v="11"/>
    <x v="0"/>
    <n v="5.3"/>
    <x v="1"/>
    <n v="20.5"/>
    <x v="1"/>
    <n v="19.5"/>
    <x v="0"/>
    <x v="3"/>
  </r>
  <r>
    <x v="3"/>
    <n v="68"/>
    <x v="1"/>
    <n v="3"/>
    <d v="2022-05-01T00:00:00"/>
    <n v="12"/>
    <n v="88"/>
    <n v="50"/>
    <n v="3.2"/>
    <n v="6"/>
    <n v="29"/>
    <n v="10.199999999999999"/>
    <x v="0"/>
    <n v="4.8"/>
    <x v="1"/>
    <n v="19.7"/>
    <x v="1"/>
    <n v="18"/>
    <x v="0"/>
    <x v="4"/>
  </r>
  <r>
    <x v="3"/>
    <n v="68"/>
    <x v="2"/>
    <n v="5"/>
    <d v="2022-05-02T00:00:00"/>
    <n v="10"/>
    <n v="89"/>
    <n v="45"/>
    <n v="3"/>
    <n v="6"/>
    <n v="60"/>
    <n v="9.5"/>
    <x v="0"/>
    <n v="4"/>
    <x v="1"/>
    <n v="18"/>
    <x v="1"/>
    <n v="16"/>
    <x v="0"/>
    <x v="4"/>
  </r>
  <r>
    <x v="4"/>
    <n v="14"/>
    <x v="0"/>
    <n v="6"/>
    <d v="2022-05-03T00:00:00"/>
    <n v="18"/>
    <n v="70.63"/>
    <n v="41"/>
    <n v="4.0999999999999996"/>
    <n v="59.4"/>
    <n v="95"/>
    <n v="15.6"/>
    <x v="2"/>
    <n v="23.7"/>
    <x v="2"/>
    <n v="15.6"/>
    <x v="1"/>
    <n v="15.1"/>
    <x v="0"/>
    <x v="4"/>
  </r>
  <r>
    <x v="4"/>
    <n v="14"/>
    <x v="1"/>
    <n v="113"/>
    <d v="2022-05-04T00:00:00"/>
    <n v="9"/>
    <n v="65"/>
    <n v="25"/>
    <n v="3.4"/>
    <n v="55"/>
    <n v="64"/>
    <n v="14"/>
    <x v="2"/>
    <n v="21.5"/>
    <x v="2"/>
    <n v="13.9"/>
    <x v="1"/>
    <n v="14.2"/>
    <x v="0"/>
    <x v="4"/>
  </r>
  <r>
    <x v="4"/>
    <n v="14"/>
    <x v="2"/>
    <n v="0"/>
    <d v="2022-05-05T00:00:00"/>
    <n v="7"/>
    <n v="64"/>
    <n v="26"/>
    <n v="3.5"/>
    <n v="53"/>
    <n v="54"/>
    <n v="12"/>
    <x v="2"/>
    <n v="20"/>
    <x v="2"/>
    <n v="12.5"/>
    <x v="1"/>
    <n v="12"/>
    <x v="0"/>
    <x v="4"/>
  </r>
  <r>
    <x v="5"/>
    <n v="33"/>
    <x v="0"/>
    <n v="32"/>
    <d v="2022-05-06T00:00:00"/>
    <n v="19"/>
    <n v="65.34"/>
    <n v="27"/>
    <n v="4.2"/>
    <n v="52.3"/>
    <n v="94"/>
    <n v="16.2"/>
    <x v="1"/>
    <n v="18.899999999999999"/>
    <x v="3"/>
    <n v="13.8"/>
    <x v="2"/>
    <n v="10.7"/>
    <x v="0"/>
    <x v="4"/>
  </r>
  <r>
    <x v="5"/>
    <n v="33"/>
    <x v="1"/>
    <n v="29"/>
    <d v="2022-05-07T00:00:00"/>
    <n v="14"/>
    <n v="60.2"/>
    <n v="28"/>
    <n v="3.9"/>
    <n v="50.5"/>
    <n v="75"/>
    <n v="15"/>
    <x v="1"/>
    <n v="17.8"/>
    <x v="3"/>
    <n v="12"/>
    <x v="2"/>
    <n v="9.5"/>
    <x v="0"/>
    <x v="4"/>
  </r>
  <r>
    <x v="5"/>
    <n v="33"/>
    <x v="2"/>
    <n v="2"/>
    <d v="2022-05-08T00:00:00"/>
    <n v="10"/>
    <n v="58"/>
    <n v="29"/>
    <n v="3.6"/>
    <n v="48"/>
    <n v="51"/>
    <n v="13"/>
    <x v="1"/>
    <n v="16"/>
    <x v="3"/>
    <n v="11"/>
    <x v="2"/>
    <n v="8"/>
    <x v="0"/>
    <x v="4"/>
  </r>
  <r>
    <x v="0"/>
    <n v="91"/>
    <x v="0"/>
    <n v="58"/>
    <d v="2022-05-09T00:00:00"/>
    <n v="54"/>
    <n v="55.5"/>
    <n v="77"/>
    <n v="4.0999999999999996"/>
    <n v="0"/>
    <n v="72"/>
    <n v="17.3"/>
    <x v="0"/>
    <n v="6.5"/>
    <x v="0"/>
    <n v="18.2"/>
    <x v="0"/>
    <n v="23"/>
    <x v="0"/>
    <x v="4"/>
  </r>
  <r>
    <x v="0"/>
    <n v="91"/>
    <x v="1"/>
    <n v="122"/>
    <d v="2022-05-10T00:00:00"/>
    <n v="26"/>
    <n v="58"/>
    <n v="70"/>
    <n v="3.8"/>
    <n v="58"/>
    <n v="54"/>
    <n v="15.5"/>
    <x v="0"/>
    <n v="5.8"/>
    <x v="0"/>
    <n v="15"/>
    <x v="0"/>
    <n v="20"/>
    <x v="0"/>
    <x v="4"/>
  </r>
  <r>
    <x v="1"/>
    <n v="44"/>
    <x v="0"/>
    <n v="45"/>
    <d v="2022-05-11T00:00:00"/>
    <n v="49"/>
    <n v="90"/>
    <n v="45"/>
    <n v="3.1"/>
    <n v="48.5"/>
    <n v="33"/>
    <n v="18.5"/>
    <x v="1"/>
    <n v="25"/>
    <x v="0"/>
    <n v="9"/>
    <x v="1"/>
    <n v="7.5"/>
    <x v="0"/>
    <x v="4"/>
  </r>
  <r>
    <x v="1"/>
    <n v="44"/>
    <x v="1"/>
    <n v="34"/>
    <d v="2022-05-12T00:00:00"/>
    <n v="37"/>
    <n v="87"/>
    <n v="40"/>
    <n v="2.9"/>
    <n v="44"/>
    <n v="27"/>
    <n v="16.5"/>
    <x v="1"/>
    <n v="24"/>
    <x v="0"/>
    <n v="8"/>
    <x v="1"/>
    <n v="6.5"/>
    <x v="0"/>
    <x v="4"/>
  </r>
  <r>
    <x v="1"/>
    <n v="44"/>
    <x v="2"/>
    <n v="2"/>
    <d v="2022-05-13T00:00:00"/>
    <n v="25"/>
    <n v="85"/>
    <n v="35"/>
    <n v="3"/>
    <n v="43"/>
    <n v="78"/>
    <n v="15"/>
    <x v="1"/>
    <n v="23"/>
    <x v="0"/>
    <n v="7"/>
    <x v="1"/>
    <n v="5"/>
    <x v="0"/>
    <x v="4"/>
  </r>
  <r>
    <x v="2"/>
    <n v="26"/>
    <x v="0"/>
    <n v="37"/>
    <d v="2022-05-14T00:00:00"/>
    <n v="8"/>
    <n v="5"/>
    <n v="76"/>
    <n v="3"/>
    <n v="47"/>
    <n v="37"/>
    <n v="6"/>
    <x v="2"/>
    <n v="20"/>
    <x v="0"/>
    <n v="16"/>
    <x v="0"/>
    <n v="12"/>
    <x v="0"/>
    <x v="4"/>
  </r>
  <r>
    <x v="2"/>
    <n v="26"/>
    <x v="1"/>
    <n v="29"/>
    <d v="2022-05-15T00:00:00"/>
    <n v="10"/>
    <n v="7"/>
    <n v="74"/>
    <n v="3.2"/>
    <n v="44"/>
    <n v="31"/>
    <n v="5.5"/>
    <x v="2"/>
    <n v="19"/>
    <x v="0"/>
    <n v="15"/>
    <x v="0"/>
    <n v="11.5"/>
    <x v="0"/>
    <x v="4"/>
  </r>
  <r>
    <x v="2"/>
    <n v="26"/>
    <x v="2"/>
    <n v="5"/>
    <d v="2022-05-16T00:00:00"/>
    <n v="7"/>
    <n v="6.5"/>
    <n v="70"/>
    <n v="3.1"/>
    <n v="42"/>
    <n v="57"/>
    <n v="4.5"/>
    <x v="2"/>
    <n v="18"/>
    <x v="0"/>
    <n v="14"/>
    <x v="0"/>
    <n v="10"/>
    <x v="0"/>
    <x v="4"/>
  </r>
  <r>
    <x v="3"/>
    <n v="68"/>
    <x v="0"/>
    <n v="6"/>
    <d v="2022-05-17T00:00:00"/>
    <n v="14"/>
    <n v="91.5"/>
    <n v="55"/>
    <n v="3.6"/>
    <n v="8"/>
    <n v="35"/>
    <n v="12"/>
    <x v="0"/>
    <n v="5"/>
    <x v="1"/>
    <n v="18"/>
    <x v="1"/>
    <n v="19"/>
    <x v="0"/>
    <x v="4"/>
  </r>
  <r>
    <x v="3"/>
    <n v="68"/>
    <x v="1"/>
    <n v="30"/>
    <d v="2022-05-18T00:00:00"/>
    <n v="11"/>
    <n v="89"/>
    <n v="53"/>
    <n v="3"/>
    <n v="6"/>
    <n v="28"/>
    <n v="10"/>
    <x v="0"/>
    <n v="4.5"/>
    <x v="1"/>
    <n v="16"/>
    <x v="1"/>
    <n v="17"/>
    <x v="0"/>
    <x v="4"/>
  </r>
  <r>
    <x v="3"/>
    <n v="68"/>
    <x v="2"/>
    <n v="0"/>
    <d v="2022-05-19T00:00:00"/>
    <n v="9"/>
    <n v="88"/>
    <n v="45"/>
    <n v="2.8"/>
    <n v="63"/>
    <n v="45"/>
    <n v="9"/>
    <x v="0"/>
    <n v="4"/>
    <x v="1"/>
    <n v="15"/>
    <x v="1"/>
    <n v="16"/>
    <x v="0"/>
    <x v="4"/>
  </r>
  <r>
    <x v="4"/>
    <n v="14"/>
    <x v="0"/>
    <n v="18"/>
    <d v="2022-05-20T00:00:00"/>
    <n v="17"/>
    <n v="72"/>
    <n v="42"/>
    <n v="4.2"/>
    <n v="60"/>
    <n v="96"/>
    <n v="14.5"/>
    <x v="2"/>
    <n v="21"/>
    <x v="2"/>
    <n v="16"/>
    <x v="1"/>
    <n v="15.5"/>
    <x v="0"/>
    <x v="4"/>
  </r>
  <r>
    <x v="4"/>
    <n v="14"/>
    <x v="1"/>
    <n v="15"/>
    <d v="2022-05-21T00:00:00"/>
    <n v="8"/>
    <n v="67"/>
    <n v="27"/>
    <n v="3.7"/>
    <n v="56"/>
    <n v="62"/>
    <n v="12.5"/>
    <x v="2"/>
    <n v="20.5"/>
    <x v="2"/>
    <n v="14"/>
    <x v="1"/>
    <n v="13.5"/>
    <x v="0"/>
    <x v="4"/>
  </r>
  <r>
    <x v="4"/>
    <n v="14"/>
    <x v="2"/>
    <n v="15"/>
    <d v="2022-05-22T00:00:00"/>
    <n v="6"/>
    <n v="66"/>
    <n v="25"/>
    <n v="3.5"/>
    <n v="54"/>
    <n v="52"/>
    <n v="12"/>
    <x v="2"/>
    <n v="19"/>
    <x v="2"/>
    <n v="13"/>
    <x v="1"/>
    <n v="12"/>
    <x v="0"/>
    <x v="4"/>
  </r>
  <r>
    <x v="5"/>
    <n v="33"/>
    <x v="0"/>
    <n v="33"/>
    <d v="2022-05-23T00:00:00"/>
    <n v="20"/>
    <n v="63"/>
    <n v="26"/>
    <n v="4.3"/>
    <n v="53"/>
    <n v="96"/>
    <n v="15"/>
    <x v="1"/>
    <n v="19"/>
    <x v="3"/>
    <n v="14"/>
    <x v="2"/>
    <n v="11"/>
    <x v="0"/>
    <x v="4"/>
  </r>
  <r>
    <x v="5"/>
    <n v="33"/>
    <x v="1"/>
    <n v="29"/>
    <d v="2022-05-24T00:00:00"/>
    <n v="15"/>
    <n v="59"/>
    <n v="27"/>
    <n v="3.9"/>
    <n v="51"/>
    <n v="80"/>
    <n v="14"/>
    <x v="1"/>
    <n v="18"/>
    <x v="3"/>
    <n v="13"/>
    <x v="2"/>
    <n v="10"/>
    <x v="0"/>
    <x v="4"/>
  </r>
  <r>
    <x v="5"/>
    <n v="33"/>
    <x v="2"/>
    <n v="2"/>
    <d v="2022-05-25T00:00:00"/>
    <n v="10"/>
    <n v="58"/>
    <n v="28"/>
    <n v="3.6"/>
    <n v="48"/>
    <n v="51"/>
    <n v="13"/>
    <x v="1"/>
    <n v="16"/>
    <x v="3"/>
    <n v="11"/>
    <x v="2"/>
    <n v="8"/>
    <x v="0"/>
    <x v="4"/>
  </r>
  <r>
    <x v="0"/>
    <n v="91"/>
    <x v="0"/>
    <n v="54"/>
    <d v="2022-05-26T00:00:00"/>
    <n v="52"/>
    <n v="54"/>
    <n v="77"/>
    <n v="4.4000000000000004"/>
    <n v="59"/>
    <n v="73"/>
    <n v="16"/>
    <x v="0"/>
    <n v="7"/>
    <x v="0"/>
    <n v="15"/>
    <x v="0"/>
    <n v="22"/>
    <x v="0"/>
    <x v="4"/>
  </r>
  <r>
    <x v="0"/>
    <n v="91"/>
    <x v="1"/>
    <n v="2"/>
    <d v="2022-05-27T00:00:00"/>
    <n v="27"/>
    <n v="56"/>
    <n v="70"/>
    <n v="3.8"/>
    <n v="58"/>
    <n v="58"/>
    <n v="14"/>
    <x v="0"/>
    <n v="6"/>
    <x v="0"/>
    <n v="14"/>
    <x v="0"/>
    <n v="21"/>
    <x v="0"/>
    <x v="4"/>
  </r>
  <r>
    <x v="0"/>
    <n v="91"/>
    <x v="2"/>
    <n v="7"/>
    <d v="2022-05-28T00:00:00"/>
    <n v="12"/>
    <n v="58"/>
    <n v="65"/>
    <n v="3.4"/>
    <n v="56"/>
    <n v="45"/>
    <n v="13"/>
    <x v="0"/>
    <n v="5.5"/>
    <x v="0"/>
    <n v="12"/>
    <x v="0"/>
    <n v="19"/>
    <x v="0"/>
    <x v="4"/>
  </r>
  <r>
    <x v="1"/>
    <n v="44"/>
    <x v="0"/>
    <n v="42"/>
    <d v="2022-05-29T00:00:00"/>
    <n v="45"/>
    <n v="89"/>
    <n v="45"/>
    <n v="3.2"/>
    <n v="45"/>
    <n v="31"/>
    <n v="17"/>
    <x v="1"/>
    <n v="26"/>
    <x v="0"/>
    <n v="7"/>
    <x v="1"/>
    <n v="7"/>
    <x v="0"/>
    <x v="4"/>
  </r>
  <r>
    <x v="1"/>
    <n v="44"/>
    <x v="1"/>
    <n v="139"/>
    <d v="2022-05-30T00:00:00"/>
    <n v="38"/>
    <n v="85"/>
    <n v="40"/>
    <n v="2.9"/>
    <n v="44"/>
    <n v="27"/>
    <n v="16"/>
    <x v="1"/>
    <n v="25"/>
    <x v="0"/>
    <n v="6.5"/>
    <x v="1"/>
    <n v="6.5"/>
    <x v="0"/>
    <x v="4"/>
  </r>
  <r>
    <x v="1"/>
    <n v="44"/>
    <x v="2"/>
    <n v="22"/>
    <d v="2022-05-31T00:00:00"/>
    <n v="25"/>
    <n v="83"/>
    <n v="35"/>
    <n v="3"/>
    <n v="43"/>
    <n v="78"/>
    <n v="15"/>
    <x v="1"/>
    <n v="23"/>
    <x v="0"/>
    <n v="7"/>
    <x v="1"/>
    <n v="5"/>
    <x v="0"/>
    <x v="4"/>
  </r>
  <r>
    <x v="4"/>
    <n v="14"/>
    <x v="0"/>
    <n v="119"/>
    <d v="2022-06-01T00:00:00"/>
    <n v="17"/>
    <n v="70.63"/>
    <n v="42"/>
    <n v="4.2"/>
    <n v="60"/>
    <n v="96"/>
    <n v="14.5"/>
    <x v="2"/>
    <n v="21"/>
    <x v="2"/>
    <n v="16"/>
    <x v="1"/>
    <n v="15.5"/>
    <x v="0"/>
    <x v="5"/>
  </r>
  <r>
    <x v="4"/>
    <n v="14"/>
    <x v="1"/>
    <n v="116"/>
    <d v="2022-06-02T00:00:00"/>
    <n v="9"/>
    <n v="67"/>
    <n v="27"/>
    <n v="3.7"/>
    <n v="56"/>
    <n v="62"/>
    <n v="12.5"/>
    <x v="2"/>
    <n v="20.5"/>
    <x v="2"/>
    <n v="14"/>
    <x v="1"/>
    <n v="13.5"/>
    <x v="0"/>
    <x v="5"/>
  </r>
  <r>
    <x v="4"/>
    <n v="14"/>
    <x v="2"/>
    <n v="122"/>
    <d v="2022-06-03T00:00:00"/>
    <n v="6"/>
    <n v="66"/>
    <n v="25"/>
    <n v="3.5"/>
    <n v="54"/>
    <n v="52"/>
    <n v="12"/>
    <x v="2"/>
    <n v="19"/>
    <x v="2"/>
    <n v="13"/>
    <x v="1"/>
    <n v="12"/>
    <x v="0"/>
    <x v="5"/>
  </r>
  <r>
    <x v="5"/>
    <n v="33"/>
    <x v="0"/>
    <n v="34"/>
    <d v="2022-06-04T00:00:00"/>
    <n v="20"/>
    <n v="63"/>
    <n v="26"/>
    <n v="4.3"/>
    <n v="53"/>
    <n v="96"/>
    <n v="15"/>
    <x v="1"/>
    <n v="19"/>
    <x v="3"/>
    <n v="14"/>
    <x v="2"/>
    <n v="11"/>
    <x v="0"/>
    <x v="5"/>
  </r>
  <r>
    <x v="5"/>
    <n v="33"/>
    <x v="1"/>
    <n v="30"/>
    <d v="2022-06-05T00:00:00"/>
    <n v="15"/>
    <n v="59"/>
    <n v="27"/>
    <n v="3.9"/>
    <n v="51"/>
    <n v="80"/>
    <n v="14"/>
    <x v="1"/>
    <n v="18"/>
    <x v="3"/>
    <n v="13"/>
    <x v="2"/>
    <n v="10"/>
    <x v="0"/>
    <x v="5"/>
  </r>
  <r>
    <x v="5"/>
    <n v="33"/>
    <x v="2"/>
    <n v="4"/>
    <d v="2022-06-06T00:00:00"/>
    <n v="10"/>
    <n v="58"/>
    <n v="28"/>
    <n v="3.6"/>
    <n v="48"/>
    <n v="51"/>
    <n v="13"/>
    <x v="1"/>
    <n v="16"/>
    <x v="3"/>
    <n v="11"/>
    <x v="2"/>
    <n v="8"/>
    <x v="0"/>
    <x v="5"/>
  </r>
  <r>
    <x v="0"/>
    <n v="91"/>
    <x v="0"/>
    <n v="55"/>
    <d v="2022-06-07T00:00:00"/>
    <n v="52"/>
    <n v="54"/>
    <n v="77"/>
    <n v="4.4000000000000004"/>
    <n v="59"/>
    <n v="73"/>
    <n v="16"/>
    <x v="0"/>
    <n v="7"/>
    <x v="0"/>
    <n v="15"/>
    <x v="0"/>
    <n v="22"/>
    <x v="0"/>
    <x v="5"/>
  </r>
  <r>
    <x v="0"/>
    <n v="91"/>
    <x v="1"/>
    <n v="84"/>
    <d v="2022-06-08T00:00:00"/>
    <n v="27"/>
    <n v="56"/>
    <n v="70"/>
    <n v="3.8"/>
    <n v="58"/>
    <n v="58"/>
    <n v="14"/>
    <x v="0"/>
    <n v="6"/>
    <x v="0"/>
    <n v="14"/>
    <x v="0"/>
    <n v="21"/>
    <x v="0"/>
    <x v="5"/>
  </r>
  <r>
    <x v="0"/>
    <n v="91"/>
    <x v="2"/>
    <n v="88"/>
    <d v="2022-06-09T00:00:00"/>
    <n v="12"/>
    <n v="58"/>
    <n v="65"/>
    <n v="3.4"/>
    <n v="5"/>
    <n v="45"/>
    <n v="13"/>
    <x v="0"/>
    <n v="5.5"/>
    <x v="0"/>
    <n v="12"/>
    <x v="0"/>
    <n v="19"/>
    <x v="0"/>
    <x v="5"/>
  </r>
  <r>
    <x v="1"/>
    <n v="44"/>
    <x v="0"/>
    <n v="43"/>
    <d v="2022-06-10T00:00:00"/>
    <n v="45"/>
    <n v="89"/>
    <n v="45"/>
    <n v="3.2"/>
    <n v="45"/>
    <n v="31"/>
    <n v="17"/>
    <x v="1"/>
    <n v="26"/>
    <x v="0"/>
    <n v="7"/>
    <x v="1"/>
    <n v="7"/>
    <x v="0"/>
    <x v="5"/>
  </r>
  <r>
    <x v="1"/>
    <n v="44"/>
    <x v="1"/>
    <n v="137"/>
    <d v="2022-06-11T00:00:00"/>
    <n v="38"/>
    <n v="85"/>
    <n v="40"/>
    <n v="2.9"/>
    <n v="44"/>
    <n v="27"/>
    <n v="16"/>
    <x v="1"/>
    <n v="25"/>
    <x v="0"/>
    <n v="6.5"/>
    <x v="1"/>
    <n v="6.5"/>
    <x v="0"/>
    <x v="5"/>
  </r>
  <r>
    <x v="1"/>
    <n v="44"/>
    <x v="2"/>
    <n v="20"/>
    <d v="2022-06-12T00:00:00"/>
    <n v="25"/>
    <n v="83"/>
    <n v="35"/>
    <n v="3"/>
    <n v="43"/>
    <n v="78"/>
    <n v="15"/>
    <x v="1"/>
    <n v="23"/>
    <x v="0"/>
    <n v="7"/>
    <x v="1"/>
    <n v="5"/>
    <x v="0"/>
    <x v="5"/>
  </r>
  <r>
    <x v="2"/>
    <n v="26"/>
    <x v="0"/>
    <n v="35"/>
    <d v="2022-06-13T00:00:00"/>
    <n v="10"/>
    <n v="5.5"/>
    <n v="76"/>
    <n v="3.5"/>
    <n v="48"/>
    <n v="33"/>
    <n v="6.5"/>
    <x v="2"/>
    <n v="22"/>
    <x v="0"/>
    <n v="15"/>
    <x v="0"/>
    <n v="12"/>
    <x v="0"/>
    <x v="5"/>
  </r>
  <r>
    <x v="2"/>
    <n v="26"/>
    <x v="1"/>
    <n v="29"/>
    <d v="2022-06-14T00:00:00"/>
    <n v="12"/>
    <n v="6"/>
    <n v="75"/>
    <n v="3.1"/>
    <n v="45"/>
    <n v="28"/>
    <n v="5"/>
    <x v="2"/>
    <n v="21"/>
    <x v="0"/>
    <n v="14"/>
    <x v="0"/>
    <n v="11"/>
    <x v="0"/>
    <x v="5"/>
  </r>
  <r>
    <x v="2"/>
    <n v="26"/>
    <x v="2"/>
    <n v="114"/>
    <d v="2022-06-15T00:00:00"/>
    <n v="8"/>
    <n v="6.5"/>
    <n v="70"/>
    <n v="3"/>
    <n v="42"/>
    <n v="69"/>
    <n v="4.5"/>
    <x v="2"/>
    <n v="20"/>
    <x v="0"/>
    <n v="12"/>
    <x v="0"/>
    <n v="10"/>
    <x v="0"/>
    <x v="5"/>
  </r>
  <r>
    <x v="0"/>
    <n v="91"/>
    <x v="0"/>
    <n v="60"/>
    <d v="2022-06-16T00:00:00"/>
    <n v="47"/>
    <n v="54.88"/>
    <n v="77"/>
    <n v="4.4000000000000004"/>
    <n v="61.5"/>
    <n v="76"/>
    <n v="17.100000000000001"/>
    <x v="0"/>
    <n v="6.2"/>
    <x v="0"/>
    <n v="17.399999999999999"/>
    <x v="0"/>
    <n v="22.2"/>
    <x v="0"/>
    <x v="5"/>
  </r>
  <r>
    <x v="1"/>
    <n v="44"/>
    <x v="1"/>
    <n v="66"/>
    <d v="2022-06-17T00:00:00"/>
    <n v="44"/>
    <n v="91.47"/>
    <n v="49"/>
    <n v="2.7"/>
    <n v="47.8"/>
    <n v="37"/>
    <n v="18"/>
    <x v="1"/>
    <n v="27.5"/>
    <x v="0"/>
    <n v="8.1"/>
    <x v="1"/>
    <n v="6.9"/>
    <x v="0"/>
    <x v="5"/>
  </r>
  <r>
    <x v="2"/>
    <n v="26"/>
    <x v="0"/>
    <n v="53"/>
    <d v="2022-06-18T00:00:00"/>
    <n v="8"/>
    <n v="6.04"/>
    <n v="78"/>
    <n v="3.2"/>
    <n v="48.7"/>
    <n v="39"/>
    <n v="5.8"/>
    <x v="2"/>
    <n v="23.6"/>
    <x v="0"/>
    <n v="18.399999999999999"/>
    <x v="0"/>
    <n v="11.6"/>
    <x v="0"/>
    <x v="5"/>
  </r>
  <r>
    <x v="3"/>
    <n v="68"/>
    <x v="1"/>
    <n v="64"/>
    <d v="2022-06-19T00:00:00"/>
    <n v="11"/>
    <n v="90"/>
    <n v="54"/>
    <n v="3.3"/>
    <n v="7.8"/>
    <n v="38"/>
    <n v="11"/>
    <x v="0"/>
    <n v="5.3"/>
    <x v="1"/>
    <n v="20.5"/>
    <x v="1"/>
    <n v="19.5"/>
    <x v="0"/>
    <x v="5"/>
  </r>
  <r>
    <x v="4"/>
    <n v="14"/>
    <x v="1"/>
    <n v="2"/>
    <d v="2022-06-20T00:00:00"/>
    <n v="14"/>
    <n v="70.63"/>
    <n v="41"/>
    <n v="3.9"/>
    <n v="59.4"/>
    <n v="25"/>
    <n v="15.6"/>
    <x v="2"/>
    <n v="23.7"/>
    <x v="2"/>
    <n v="15.6"/>
    <x v="1"/>
    <n v="15.1"/>
    <x v="0"/>
    <x v="5"/>
  </r>
  <r>
    <x v="0"/>
    <n v="91"/>
    <x v="0"/>
    <n v="157"/>
    <d v="2022-06-21T00:00:00"/>
    <n v="52"/>
    <n v="54"/>
    <n v="77"/>
    <n v="4.5999999999999996"/>
    <n v="58"/>
    <n v="73"/>
    <n v="17"/>
    <x v="0"/>
    <n v="8"/>
    <x v="0"/>
    <n v="16"/>
    <x v="0"/>
    <n v="23"/>
    <x v="0"/>
    <x v="5"/>
  </r>
  <r>
    <x v="1"/>
    <n v="44"/>
    <x v="0"/>
    <n v="129"/>
    <d v="2022-06-22T00:00:00"/>
    <n v="45"/>
    <n v="89"/>
    <n v="47"/>
    <n v="3.3"/>
    <n v="45"/>
    <n v="32"/>
    <n v="18"/>
    <x v="1"/>
    <n v="27.5"/>
    <x v="0"/>
    <n v="9.5"/>
    <x v="1"/>
    <n v="8.5"/>
    <x v="0"/>
    <x v="5"/>
  </r>
  <r>
    <x v="2"/>
    <n v="26"/>
    <x v="1"/>
    <n v="269"/>
    <d v="2022-06-23T00:00:00"/>
    <n v="10"/>
    <n v="5.5"/>
    <n v="76"/>
    <n v="3.5"/>
    <n v="48"/>
    <n v="33"/>
    <n v="6.5"/>
    <x v="2"/>
    <n v="22"/>
    <x v="0"/>
    <n v="15"/>
    <x v="0"/>
    <n v="12"/>
    <x v="0"/>
    <x v="5"/>
  </r>
  <r>
    <x v="5"/>
    <n v="33"/>
    <x v="0"/>
    <n v="34"/>
    <d v="2022-06-24T00:00:00"/>
    <n v="20"/>
    <n v="63"/>
    <n v="77"/>
    <n v="4.3"/>
    <n v="53"/>
    <n v="96"/>
    <n v="15"/>
    <x v="1"/>
    <n v="19"/>
    <x v="3"/>
    <n v="14"/>
    <x v="2"/>
    <n v="11"/>
    <x v="0"/>
    <x v="5"/>
  </r>
  <r>
    <x v="5"/>
    <n v="33"/>
    <x v="1"/>
    <n v="30"/>
    <d v="2022-06-25T00:00:00"/>
    <n v="15"/>
    <n v="59"/>
    <n v="78"/>
    <n v="3.9"/>
    <n v="51"/>
    <n v="80"/>
    <n v="14"/>
    <x v="1"/>
    <n v="18"/>
    <x v="3"/>
    <n v="13"/>
    <x v="2"/>
    <n v="10"/>
    <x v="0"/>
    <x v="5"/>
  </r>
  <r>
    <x v="5"/>
    <n v="33"/>
    <x v="2"/>
    <n v="4"/>
    <d v="2022-06-26T00:00:00"/>
    <n v="10"/>
    <n v="58"/>
    <n v="79"/>
    <n v="3.6"/>
    <n v="48"/>
    <n v="51"/>
    <n v="13"/>
    <x v="1"/>
    <n v="16"/>
    <x v="3"/>
    <n v="11"/>
    <x v="2"/>
    <n v="8"/>
    <x v="0"/>
    <x v="5"/>
  </r>
  <r>
    <x v="4"/>
    <n v="14"/>
    <x v="0"/>
    <n v="19"/>
    <d v="2022-06-27T00:00:00"/>
    <n v="17"/>
    <n v="72"/>
    <n v="42"/>
    <n v="4"/>
    <n v="60"/>
    <n v="98"/>
    <n v="14.5"/>
    <x v="2"/>
    <n v="21"/>
    <x v="2"/>
    <n v="16"/>
    <x v="1"/>
    <n v="15.5"/>
    <x v="0"/>
    <x v="5"/>
  </r>
  <r>
    <x v="4"/>
    <n v="14"/>
    <x v="1"/>
    <n v="116"/>
    <d v="2022-06-28T00:00:00"/>
    <n v="10"/>
    <n v="67"/>
    <n v="27"/>
    <n v="3.5"/>
    <n v="56"/>
    <n v="62"/>
    <n v="12.5"/>
    <x v="2"/>
    <n v="20.5"/>
    <x v="2"/>
    <n v="14"/>
    <x v="1"/>
    <n v="13"/>
    <x v="0"/>
    <x v="5"/>
  </r>
  <r>
    <x v="4"/>
    <n v="14"/>
    <x v="2"/>
    <n v="4"/>
    <d v="2022-06-29T00:00:00"/>
    <n v="9"/>
    <n v="66"/>
    <n v="25"/>
    <n v="3.4"/>
    <n v="54"/>
    <n v="52"/>
    <n v="12"/>
    <x v="2"/>
    <n v="19"/>
    <x v="2"/>
    <n v="13"/>
    <x v="1"/>
    <n v="12"/>
    <x v="0"/>
    <x v="5"/>
  </r>
  <r>
    <x v="3"/>
    <n v="68"/>
    <x v="0"/>
    <n v="62"/>
    <d v="2022-06-30T00:00:00"/>
    <n v="15"/>
    <n v="91.5"/>
    <n v="57"/>
    <n v="3.7"/>
    <n v="6"/>
    <n v="38"/>
    <n v="12"/>
    <x v="0"/>
    <n v="5.5"/>
    <x v="1"/>
    <n v="20"/>
    <x v="1"/>
    <n v="18.5"/>
    <x v="0"/>
    <x v="5"/>
  </r>
  <r>
    <x v="3"/>
    <n v="68"/>
    <x v="1"/>
    <n v="28"/>
    <d v="2022-07-01T00:00:00"/>
    <n v="12"/>
    <n v="89"/>
    <n v="53"/>
    <n v="3.1"/>
    <m/>
    <n v="99"/>
    <n v="11.5"/>
    <x v="0"/>
    <n v="4.5"/>
    <x v="1"/>
    <n v="18"/>
    <x v="1"/>
    <n v="17"/>
    <x v="0"/>
    <x v="6"/>
  </r>
  <r>
    <x v="3"/>
    <n v="68"/>
    <x v="2"/>
    <n v="115"/>
    <d v="2022-07-02T00:00:00"/>
    <n v="10"/>
    <n v="88"/>
    <n v="45"/>
    <n v="2.9"/>
    <n v="64"/>
    <n v="55"/>
    <n v="10"/>
    <x v="0"/>
    <n v="4"/>
    <x v="1"/>
    <n v="16.5"/>
    <x v="1"/>
    <n v="15"/>
    <x v="0"/>
    <x v="6"/>
  </r>
  <r>
    <x v="0"/>
    <n v="91"/>
    <x v="0"/>
    <n v="34"/>
    <d v="2022-07-03T00:00:00"/>
    <n v="9"/>
    <n v="5.5"/>
    <n v="76"/>
    <n v="3.5"/>
    <n v="48"/>
    <n v="33"/>
    <n v="6.5"/>
    <x v="2"/>
    <n v="22"/>
    <x v="0"/>
    <n v="15"/>
    <x v="0"/>
    <n v="12"/>
    <x v="0"/>
    <x v="6"/>
  </r>
  <r>
    <x v="2"/>
    <n v="26"/>
    <x v="1"/>
    <n v="28"/>
    <d v="2022-07-04T00:00:00"/>
    <n v="12"/>
    <n v="6"/>
    <n v="75"/>
    <n v="3.1"/>
    <n v="45"/>
    <n v="28"/>
    <n v="5"/>
    <x v="2"/>
    <n v="21"/>
    <x v="0"/>
    <n v="14"/>
    <x v="0"/>
    <n v="11"/>
    <x v="0"/>
    <x v="6"/>
  </r>
  <r>
    <x v="2"/>
    <n v="26"/>
    <x v="2"/>
    <n v="8"/>
    <d v="2022-07-05T00:00:00"/>
    <n v="8"/>
    <n v="6.5"/>
    <n v="70"/>
    <n v="3"/>
    <n v="42"/>
    <n v="69"/>
    <n v="4.5"/>
    <x v="2"/>
    <n v="20"/>
    <x v="0"/>
    <n v="12"/>
    <x v="1"/>
    <n v="23"/>
    <x v="0"/>
    <x v="6"/>
  </r>
  <r>
    <x v="0"/>
    <n v="91"/>
    <x v="0"/>
    <n v="57"/>
    <d v="2022-07-06T00:00:00"/>
    <n v="53"/>
    <n v="54"/>
    <n v="77"/>
    <n v="4.5999999999999996"/>
    <n v="58"/>
    <n v="73"/>
    <n v="17"/>
    <x v="0"/>
    <n v="8"/>
    <x v="0"/>
    <n v="16"/>
    <x v="0"/>
    <n v="23"/>
    <x v="0"/>
    <x v="6"/>
  </r>
  <r>
    <x v="0"/>
    <n v="91"/>
    <x v="1"/>
    <n v="156"/>
    <d v="2022-07-07T00:00:00"/>
    <n v="30"/>
    <n v="56"/>
    <n v="72"/>
    <n v="3.9"/>
    <n v="57"/>
    <n v="62"/>
    <n v="15.5"/>
    <x v="0"/>
    <n v="7.5"/>
    <x v="0"/>
    <n v="15"/>
    <x v="0"/>
    <n v="21.5"/>
    <x v="0"/>
    <x v="6"/>
  </r>
  <r>
    <x v="0"/>
    <n v="91"/>
    <x v="2"/>
    <n v="22"/>
    <d v="2022-07-08T00:00:00"/>
    <n v="12"/>
    <n v="58"/>
    <n v="67"/>
    <n v="3.3"/>
    <n v="15"/>
    <n v="46"/>
    <n v="14"/>
    <x v="0"/>
    <n v="6"/>
    <x v="0"/>
    <n v="13.5"/>
    <x v="0"/>
    <n v="20"/>
    <x v="0"/>
    <x v="6"/>
  </r>
  <r>
    <x v="1"/>
    <n v="44"/>
    <x v="0"/>
    <n v="46"/>
    <d v="2022-07-09T00:00:00"/>
    <n v="47"/>
    <n v="90"/>
    <n v="47"/>
    <n v="3.3"/>
    <n v="45"/>
    <n v="32"/>
    <n v="18"/>
    <x v="1"/>
    <n v="27.5"/>
    <x v="0"/>
    <n v="9.5"/>
    <x v="1"/>
    <n v="8.5"/>
    <x v="0"/>
    <x v="6"/>
  </r>
  <r>
    <x v="1"/>
    <n v="44"/>
    <x v="1"/>
    <n v="139"/>
    <d v="2022-07-10T00:00:00"/>
    <n v="39"/>
    <n v="87"/>
    <n v="41"/>
    <n v="3"/>
    <n v="44"/>
    <n v="27"/>
    <n v="17"/>
    <x v="1"/>
    <n v="26"/>
    <x v="0"/>
    <n v="8"/>
    <x v="1"/>
    <n v="7.5"/>
    <x v="0"/>
    <x v="6"/>
  </r>
  <r>
    <x v="1"/>
    <n v="44"/>
    <x v="2"/>
    <n v="29"/>
    <d v="2022-07-11T00:00:00"/>
    <n v="25"/>
    <n v="85"/>
    <n v="35"/>
    <n v="3"/>
    <n v="43"/>
    <n v="78"/>
    <n v="16.5"/>
    <x v="1"/>
    <n v="25"/>
    <x v="0"/>
    <n v="7"/>
    <x v="1"/>
    <n v="6"/>
    <x v="0"/>
    <x v="6"/>
  </r>
  <r>
    <x v="2"/>
    <n v="26"/>
    <x v="0"/>
    <n v="35"/>
    <d v="2022-07-12T00:00:00"/>
    <n v="10"/>
    <n v="5.5"/>
    <n v="76"/>
    <n v="3.5"/>
    <n v="48"/>
    <n v="33"/>
    <n v="6.5"/>
    <x v="2"/>
    <n v="22"/>
    <x v="0"/>
    <n v="15"/>
    <x v="0"/>
    <n v="12"/>
    <x v="0"/>
    <x v="6"/>
  </r>
  <r>
    <x v="2"/>
    <n v="26"/>
    <x v="1"/>
    <n v="32"/>
    <d v="2022-07-13T00:00:00"/>
    <n v="12"/>
    <n v="6"/>
    <n v="75"/>
    <n v="3.1"/>
    <n v="45"/>
    <n v="28"/>
    <n v="6"/>
    <x v="2"/>
    <n v="21"/>
    <x v="0"/>
    <n v="14"/>
    <x v="0"/>
    <n v="11"/>
    <x v="0"/>
    <x v="6"/>
  </r>
  <r>
    <x v="2"/>
    <n v="26"/>
    <x v="2"/>
    <n v="120"/>
    <d v="2022-07-14T00:00:00"/>
    <n v="8"/>
    <n v="6.5"/>
    <n v="70"/>
    <n v="3"/>
    <n v="42"/>
    <n v="69"/>
    <n v="5.5"/>
    <x v="2"/>
    <n v="20"/>
    <x v="0"/>
    <n v="12"/>
    <x v="0"/>
    <n v="10"/>
    <x v="0"/>
    <x v="6"/>
  </r>
  <r>
    <x v="3"/>
    <n v="68"/>
    <x v="0"/>
    <n v="66"/>
    <d v="2022-07-15T00:00:00"/>
    <n v="15"/>
    <n v="91.5"/>
    <n v="57"/>
    <n v="3.7"/>
    <n v="7"/>
    <n v="38"/>
    <n v="12"/>
    <x v="0"/>
    <n v="5.5"/>
    <x v="1"/>
    <n v="20"/>
    <x v="1"/>
    <n v="18.5"/>
    <x v="0"/>
    <x v="6"/>
  </r>
  <r>
    <x v="3"/>
    <n v="68"/>
    <x v="1"/>
    <n v="28"/>
    <d v="2022-07-16T00:00:00"/>
    <n v="12"/>
    <n v="89"/>
    <n v="53"/>
    <n v="3.1"/>
    <n v="66"/>
    <n v="99"/>
    <n v="11.5"/>
    <x v="0"/>
    <n v="4.5"/>
    <x v="1"/>
    <n v="18"/>
    <x v="1"/>
    <n v="17"/>
    <x v="0"/>
    <x v="6"/>
  </r>
  <r>
    <x v="3"/>
    <n v="68"/>
    <x v="2"/>
    <n v="55"/>
    <d v="2022-07-17T00:00:00"/>
    <n v="10"/>
    <n v="88"/>
    <n v="45"/>
    <n v="2.9"/>
    <n v="64"/>
    <n v="55"/>
    <n v="10"/>
    <x v="0"/>
    <n v="4"/>
    <x v="1"/>
    <n v="16.5"/>
    <x v="1"/>
    <n v="15"/>
    <x v="0"/>
    <x v="6"/>
  </r>
  <r>
    <x v="4"/>
    <n v="14"/>
    <x v="0"/>
    <n v="20"/>
    <d v="2022-07-18T00:00:00"/>
    <n v="18"/>
    <n v="72"/>
    <n v="42"/>
    <n v="4"/>
    <n v="60"/>
    <n v="98"/>
    <n v="14.5"/>
    <x v="2"/>
    <n v="21"/>
    <x v="2"/>
    <n v="16"/>
    <x v="1"/>
    <n v="15.5"/>
    <x v="0"/>
    <x v="6"/>
  </r>
  <r>
    <x v="4"/>
    <n v="14"/>
    <x v="1"/>
    <n v="16"/>
    <d v="2022-07-19T00:00:00"/>
    <n v="10"/>
    <n v="67"/>
    <n v="27"/>
    <n v="3.5"/>
    <n v="56"/>
    <n v="62"/>
    <n v="12.5"/>
    <x v="2"/>
    <n v="20.5"/>
    <x v="2"/>
    <n v="14"/>
    <x v="1"/>
    <n v="13"/>
    <x v="0"/>
    <x v="6"/>
  </r>
  <r>
    <x v="4"/>
    <n v="14"/>
    <x v="2"/>
    <n v="14"/>
    <d v="2022-07-20T00:00:00"/>
    <n v="9"/>
    <n v="66"/>
    <n v="25"/>
    <n v="3.4"/>
    <n v="54"/>
    <n v="52"/>
    <n v="12"/>
    <x v="2"/>
    <n v="19"/>
    <x v="2"/>
    <n v="13"/>
    <x v="1"/>
    <n v="12"/>
    <x v="0"/>
    <x v="6"/>
  </r>
  <r>
    <x v="1"/>
    <n v="44"/>
    <x v="1"/>
    <n v="35"/>
    <d v="2022-07-21T00:00:00"/>
    <n v="32"/>
    <n v="85.3"/>
    <n v="35"/>
    <n v="2.5"/>
    <n v="45"/>
    <n v="29"/>
    <n v="17.5"/>
    <x v="1"/>
    <n v="26"/>
    <x v="0"/>
    <n v="7.5"/>
    <x v="1"/>
    <n v="6.3"/>
    <x v="0"/>
    <x v="6"/>
  </r>
  <r>
    <x v="2"/>
    <n v="26"/>
    <x v="2"/>
    <n v="88"/>
    <d v="2022-07-22T00:00:00"/>
    <n v="8"/>
    <n v="6.5"/>
    <n v="70"/>
    <n v="3"/>
    <n v="42"/>
    <n v="69"/>
    <n v="5.5"/>
    <x v="2"/>
    <n v="20"/>
    <x v="0"/>
    <n v="12"/>
    <x v="0"/>
    <n v="10"/>
    <x v="0"/>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2B2E63-4DAD-4DB8-AAC6-80720C499449}"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52:B59" firstHeaderRow="1" firstDataRow="1" firstDataCol="1"/>
  <pivotFields count="20">
    <pivotField axis="axisRow" showAll="0">
      <items count="7">
        <item x="3"/>
        <item x="1"/>
        <item x="5"/>
        <item x="2"/>
        <item x="4"/>
        <item x="0"/>
        <item t="default"/>
      </items>
    </pivotField>
    <pivotField showAll="0"/>
    <pivotField showAll="0"/>
    <pivotField showAll="0"/>
    <pivotField numFmtId="14"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8">
        <item h="1" x="0"/>
        <item x="1"/>
        <item x="2"/>
        <item x="3"/>
        <item x="4"/>
        <item x="5"/>
        <item x="6"/>
        <item t="default"/>
      </items>
    </pivotField>
  </pivotFields>
  <rowFields count="1">
    <field x="0"/>
  </rowFields>
  <rowItems count="7">
    <i>
      <x/>
    </i>
    <i>
      <x v="1"/>
    </i>
    <i>
      <x v="2"/>
    </i>
    <i>
      <x v="3"/>
    </i>
    <i>
      <x v="4"/>
    </i>
    <i>
      <x v="5"/>
    </i>
    <i t="grand">
      <x/>
    </i>
  </rowItems>
  <colItems count="1">
    <i/>
  </colItems>
  <dataFields count="1">
    <dataField name="Sum of Goal Conversion Rate %" fld="11" baseField="0" baseItem="0"/>
  </dataFields>
  <formats count="10">
    <format dxfId="16">
      <pivotArea type="all" dataOnly="0" outline="0" fieldPosition="0"/>
    </format>
    <format dxfId="15">
      <pivotArea outline="0" collapsedLevelsAreSubtotals="1" fieldPosition="0"/>
    </format>
    <format dxfId="14">
      <pivotArea field="0" type="button" dataOnly="0" labelOnly="1" outline="0" axis="axisRow" fieldPosition="0"/>
    </format>
    <format dxfId="13">
      <pivotArea dataOnly="0" labelOnly="1" fieldPosition="0">
        <references count="1">
          <reference field="0" count="0"/>
        </references>
      </pivotArea>
    </format>
    <format dxfId="12">
      <pivotArea dataOnly="0" labelOnly="1" grandRow="1" outline="0" fieldPosition="0"/>
    </format>
    <format dxfId="11">
      <pivotArea type="all" dataOnly="0" outline="0" fieldPosition="0"/>
    </format>
    <format dxfId="10">
      <pivotArea outline="0" collapsedLevelsAreSubtotals="1" fieldPosition="0"/>
    </format>
    <format dxfId="9">
      <pivotArea field="0" type="button" dataOnly="0" labelOnly="1" outline="0" axis="axisRow" fieldPosition="0"/>
    </format>
    <format dxfId="8">
      <pivotArea dataOnly="0" labelOnly="1" fieldPosition="0">
        <references count="1">
          <reference field="0" count="0"/>
        </references>
      </pivotArea>
    </format>
    <format dxfId="7">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DA479C-56EE-42CD-8D0C-4A86AB96F486}"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43:B50" firstHeaderRow="1" firstDataRow="1" firstDataCol="1"/>
  <pivotFields count="20">
    <pivotField axis="axisRow" showAll="0">
      <items count="7">
        <item x="3"/>
        <item x="1"/>
        <item x="5"/>
        <item x="2"/>
        <item x="4"/>
        <item x="0"/>
        <item t="default"/>
      </items>
    </pivotField>
    <pivotField showAll="0"/>
    <pivotField showAll="0"/>
    <pivotField showAll="0"/>
    <pivotField numFmtId="14"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8">
        <item h="1" x="0"/>
        <item x="1"/>
        <item x="2"/>
        <item x="3"/>
        <item x="4"/>
        <item x="5"/>
        <item x="6"/>
        <item t="default"/>
      </items>
    </pivotField>
  </pivotFields>
  <rowFields count="1">
    <field x="0"/>
  </rowFields>
  <rowItems count="7">
    <i>
      <x/>
    </i>
    <i>
      <x v="1"/>
    </i>
    <i>
      <x v="2"/>
    </i>
    <i>
      <x v="3"/>
    </i>
    <i>
      <x v="4"/>
    </i>
    <i>
      <x v="5"/>
    </i>
    <i t="grand">
      <x/>
    </i>
  </rowItems>
  <colItems count="1">
    <i/>
  </colItems>
  <dataFields count="1">
    <dataField name="Sum of Total Page Views" fld="10" baseField="0" baseItem="0"/>
  </dataFields>
  <formats count="10">
    <format dxfId="26">
      <pivotArea type="all" dataOnly="0" outline="0" fieldPosition="0"/>
    </format>
    <format dxfId="25">
      <pivotArea outline="0" collapsedLevelsAreSubtotals="1" fieldPosition="0"/>
    </format>
    <format dxfId="24">
      <pivotArea field="0" type="button" dataOnly="0" labelOnly="1" outline="0" axis="axisRow" fieldPosition="0"/>
    </format>
    <format dxfId="23">
      <pivotArea dataOnly="0" labelOnly="1" fieldPosition="0">
        <references count="1">
          <reference field="0" count="0"/>
        </references>
      </pivotArea>
    </format>
    <format dxfId="22">
      <pivotArea dataOnly="0" labelOnly="1" grandRow="1" outline="0" fieldPosition="0"/>
    </format>
    <format dxfId="21">
      <pivotArea type="all" dataOnly="0" outline="0" fieldPosition="0"/>
    </format>
    <format dxfId="20">
      <pivotArea outline="0" collapsedLevelsAreSubtotals="1" fieldPosition="0"/>
    </format>
    <format dxfId="19">
      <pivotArea field="0" type="button" dataOnly="0" labelOnly="1" outline="0" axis="axisRow" fieldPosition="0"/>
    </format>
    <format dxfId="18">
      <pivotArea dataOnly="0" labelOnly="1" fieldPosition="0">
        <references count="1">
          <reference field="0" count="0"/>
        </references>
      </pivotArea>
    </format>
    <format dxfId="17">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CC1830-D762-4991-8F64-A7D807BD27BA}" name="PivotTable1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O16:P20" firstHeaderRow="1" firstDataRow="1" firstDataCol="1"/>
  <pivotFields count="20">
    <pivotField showAll="0">
      <items count="7">
        <item x="3"/>
        <item x="1"/>
        <item x="5"/>
        <item x="2"/>
        <item x="4"/>
        <item x="0"/>
        <item t="default"/>
      </items>
    </pivotField>
    <pivotField showAll="0"/>
    <pivotField showAll="0">
      <items count="4">
        <item x="2"/>
        <item x="1"/>
        <item x="0"/>
        <item t="default"/>
      </items>
    </pivotField>
    <pivotField showAll="0"/>
    <pivotField numFmtId="14" showAll="0"/>
    <pivotField showAll="0"/>
    <pivotField showAll="0"/>
    <pivotField showAll="0"/>
    <pivotField showAll="0"/>
    <pivotField showAll="0"/>
    <pivotField showAll="0"/>
    <pivotField showAll="0"/>
    <pivotField axis="axisRow" showAll="0">
      <items count="4">
        <item x="1"/>
        <item x="2"/>
        <item x="0"/>
        <item t="default"/>
      </items>
    </pivotField>
    <pivotField dataField="1" showAll="0"/>
    <pivotField showAll="0"/>
    <pivotField showAll="0"/>
    <pivotField showAll="0"/>
    <pivotField showAll="0"/>
    <pivotField showAll="0"/>
    <pivotField showAll="0">
      <items count="8">
        <item h="1" x="0"/>
        <item x="1"/>
        <item x="2"/>
        <item x="3"/>
        <item x="4"/>
        <item x="5"/>
        <item x="6"/>
        <item t="default"/>
      </items>
    </pivotField>
  </pivotFields>
  <rowFields count="1">
    <field x="12"/>
  </rowFields>
  <rowItems count="4">
    <i>
      <x/>
    </i>
    <i>
      <x v="1"/>
    </i>
    <i>
      <x v="2"/>
    </i>
    <i t="grand">
      <x/>
    </i>
  </rowItems>
  <colItems count="1">
    <i/>
  </colItems>
  <dataFields count="1">
    <dataField name="Average of Conversion % (Channel)" fld="13" subtotal="average" baseField="12" baseItem="0"/>
  </dataFields>
  <formats count="12">
    <format dxfId="38">
      <pivotArea field="0" type="button" dataOnly="0" labelOnly="1" outline="0"/>
    </format>
    <format dxfId="37">
      <pivotArea type="all" dataOnly="0" outline="0" fieldPosition="0"/>
    </format>
    <format dxfId="36">
      <pivotArea outline="0" collapsedLevelsAreSubtotals="1" fieldPosition="0"/>
    </format>
    <format dxfId="35">
      <pivotArea field="19" type="button" dataOnly="0" labelOnly="1" outline="0"/>
    </format>
    <format dxfId="34">
      <pivotArea dataOnly="0" labelOnly="1" grandRow="1" outline="0" fieldPosition="0"/>
    </format>
    <format dxfId="33">
      <pivotArea dataOnly="0" labelOnly="1" outline="0" axis="axisValues" fieldPosition="0"/>
    </format>
    <format dxfId="32">
      <pivotArea type="all" dataOnly="0" outline="0" fieldPosition="0"/>
    </format>
    <format dxfId="31">
      <pivotArea outline="0" collapsedLevelsAreSubtotals="1" fieldPosition="0"/>
    </format>
    <format dxfId="30">
      <pivotArea field="19" type="button" dataOnly="0" labelOnly="1" outline="0"/>
    </format>
    <format dxfId="29">
      <pivotArea dataOnly="0" labelOnly="1" grandRow="1" outline="0" fieldPosition="0"/>
    </format>
    <format dxfId="28">
      <pivotArea dataOnly="0" labelOnly="1" outline="0" axis="axisValues" fieldPosition="0"/>
    </format>
    <format dxfId="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087267-DB92-402F-8BC1-3178BFB6E573}"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4:B41" firstHeaderRow="1" firstDataRow="1" firstDataCol="1"/>
  <pivotFields count="20">
    <pivotField axis="axisRow" showAll="0">
      <items count="7">
        <item x="3"/>
        <item x="1"/>
        <item x="5"/>
        <item x="2"/>
        <item x="4"/>
        <item x="0"/>
        <item t="default"/>
      </items>
    </pivotField>
    <pivotField showAll="0"/>
    <pivotField showAll="0"/>
    <pivotField showAll="0"/>
    <pivotField numFmtId="14"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8">
        <item h="1" x="0"/>
        <item x="1"/>
        <item x="2"/>
        <item x="3"/>
        <item x="4"/>
        <item x="5"/>
        <item x="6"/>
        <item t="default"/>
      </items>
    </pivotField>
  </pivotFields>
  <rowFields count="1">
    <field x="0"/>
  </rowFields>
  <rowItems count="7">
    <i>
      <x/>
    </i>
    <i>
      <x v="1"/>
    </i>
    <i>
      <x v="2"/>
    </i>
    <i>
      <x v="3"/>
    </i>
    <i>
      <x v="4"/>
    </i>
    <i>
      <x v="5"/>
    </i>
    <i t="grand">
      <x/>
    </i>
  </rowItems>
  <colItems count="1">
    <i/>
  </colItems>
  <dataFields count="1">
    <dataField name="Average of Pages Per Visit" fld="8" subtotal="average" baseField="0" baseItem="0"/>
  </dataFields>
  <formats count="10">
    <format dxfId="48">
      <pivotArea type="all" dataOnly="0" outline="0" fieldPosition="0"/>
    </format>
    <format dxfId="47">
      <pivotArea outline="0" collapsedLevelsAreSubtotals="1" fieldPosition="0"/>
    </format>
    <format dxfId="46">
      <pivotArea field="0" type="button" dataOnly="0" labelOnly="1" outline="0" axis="axisRow" fieldPosition="0"/>
    </format>
    <format dxfId="45">
      <pivotArea dataOnly="0" labelOnly="1" fieldPosition="0">
        <references count="1">
          <reference field="0" count="0"/>
        </references>
      </pivotArea>
    </format>
    <format dxfId="44">
      <pivotArea dataOnly="0" labelOnly="1" grandRow="1" outline="0" fieldPosition="0"/>
    </format>
    <format dxfId="43">
      <pivotArea type="all" dataOnly="0" outline="0" fieldPosition="0"/>
    </format>
    <format dxfId="42">
      <pivotArea outline="0" collapsedLevelsAreSubtotals="1" fieldPosition="0"/>
    </format>
    <format dxfId="41">
      <pivotArea field="0" type="button" dataOnly="0" labelOnly="1" outline="0" axis="axisRow" fieldPosition="0"/>
    </format>
    <format dxfId="40">
      <pivotArea dataOnly="0" labelOnly="1" fieldPosition="0">
        <references count="1">
          <reference field="0" count="0"/>
        </references>
      </pivotArea>
    </format>
    <format dxfId="39">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710D529-32AF-4C9B-B3B2-E46BAF14E70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6:M23" firstHeaderRow="1" firstDataRow="1" firstDataCol="1"/>
  <pivotFields count="20">
    <pivotField showAll="0">
      <items count="7">
        <item x="3"/>
        <item x="1"/>
        <item x="5"/>
        <item x="2"/>
        <item x="4"/>
        <item x="0"/>
        <item t="default"/>
      </items>
    </pivotField>
    <pivotField showAll="0"/>
    <pivotField showAll="0">
      <items count="4">
        <item x="2"/>
        <item x="1"/>
        <item x="0"/>
        <item t="default"/>
      </items>
    </pivotField>
    <pivotField showAll="0"/>
    <pivotField numFmtId="14"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h="1" x="0"/>
        <item x="1"/>
        <item x="2"/>
        <item x="3"/>
        <item x="4"/>
        <item x="5"/>
        <item x="6"/>
        <item t="default"/>
      </items>
    </pivotField>
  </pivotFields>
  <rowFields count="1">
    <field x="19"/>
  </rowFields>
  <rowItems count="7">
    <i>
      <x v="1"/>
    </i>
    <i>
      <x v="2"/>
    </i>
    <i>
      <x v="3"/>
    </i>
    <i>
      <x v="4"/>
    </i>
    <i>
      <x v="5"/>
    </i>
    <i>
      <x v="6"/>
    </i>
    <i t="grand">
      <x/>
    </i>
  </rowItems>
  <colItems count="1">
    <i/>
  </colItems>
  <dataFields count="1">
    <dataField name="Sum of Bounce Rate %" fld="6" baseField="0" baseItem="0" numFmtId="1"/>
  </dataFields>
  <formats count="14">
    <format dxfId="62">
      <pivotArea field="0" type="button" dataOnly="0" labelOnly="1" outline="0"/>
    </format>
    <format dxfId="61">
      <pivotArea type="all" dataOnly="0" outline="0" fieldPosition="0"/>
    </format>
    <format dxfId="60">
      <pivotArea outline="0" collapsedLevelsAreSubtotals="1" fieldPosition="0"/>
    </format>
    <format dxfId="59">
      <pivotArea field="19" type="button" dataOnly="0" labelOnly="1" outline="0" axis="axisRow" fieldPosition="0"/>
    </format>
    <format dxfId="58">
      <pivotArea dataOnly="0" labelOnly="1" fieldPosition="0">
        <references count="1">
          <reference field="19" count="0"/>
        </references>
      </pivotArea>
    </format>
    <format dxfId="57">
      <pivotArea dataOnly="0" labelOnly="1" grandRow="1" outline="0" fieldPosition="0"/>
    </format>
    <format dxfId="56">
      <pivotArea dataOnly="0" labelOnly="1" outline="0" axis="axisValues" fieldPosition="0"/>
    </format>
    <format dxfId="55">
      <pivotArea type="all" dataOnly="0" outline="0" fieldPosition="0"/>
    </format>
    <format dxfId="54">
      <pivotArea outline="0" collapsedLevelsAreSubtotals="1" fieldPosition="0"/>
    </format>
    <format dxfId="53">
      <pivotArea field="19" type="button" dataOnly="0" labelOnly="1" outline="0" axis="axisRow" fieldPosition="0"/>
    </format>
    <format dxfId="52">
      <pivotArea dataOnly="0" labelOnly="1" fieldPosition="0">
        <references count="1">
          <reference field="19" count="0"/>
        </references>
      </pivotArea>
    </format>
    <format dxfId="51">
      <pivotArea dataOnly="0" labelOnly="1" grandRow="1" outline="0" fieldPosition="0"/>
    </format>
    <format dxfId="50">
      <pivotArea dataOnly="0" labelOnly="1" outline="0" axis="axisValues" fieldPosition="0"/>
    </format>
    <format dxfId="4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50179D7-B35C-4443-B94A-EE17F9987CD4}"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25:B32" firstHeaderRow="1" firstDataRow="1" firstDataCol="1"/>
  <pivotFields count="20">
    <pivotField axis="axisRow" showAll="0">
      <items count="7">
        <item x="3"/>
        <item x="1"/>
        <item x="5"/>
        <item x="2"/>
        <item x="4"/>
        <item x="0"/>
        <item t="default"/>
      </items>
    </pivotField>
    <pivotField showAll="0"/>
    <pivotField showAll="0"/>
    <pivotField showAll="0"/>
    <pivotField numFmtId="14"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8">
        <item h="1" x="0"/>
        <item x="1"/>
        <item x="2"/>
        <item x="3"/>
        <item x="4"/>
        <item x="5"/>
        <item x="6"/>
        <item t="default"/>
      </items>
    </pivotField>
  </pivotFields>
  <rowFields count="1">
    <field x="0"/>
  </rowFields>
  <rowItems count="7">
    <i>
      <x/>
    </i>
    <i>
      <x v="1"/>
    </i>
    <i>
      <x v="2"/>
    </i>
    <i>
      <x v="3"/>
    </i>
    <i>
      <x v="4"/>
    </i>
    <i>
      <x v="5"/>
    </i>
    <i t="grand">
      <x/>
    </i>
  </rowItems>
  <colItems count="1">
    <i/>
  </colItems>
  <dataFields count="1">
    <dataField name="Average of Avg. Session Duration (sec)" fld="7" subtotal="average" baseField="0" baseItem="0"/>
  </dataFields>
  <formats count="10">
    <format dxfId="72">
      <pivotArea type="all" dataOnly="0" outline="0" fieldPosition="0"/>
    </format>
    <format dxfId="71">
      <pivotArea outline="0" collapsedLevelsAreSubtotals="1" fieldPosition="0"/>
    </format>
    <format dxfId="70">
      <pivotArea field="0" type="button" dataOnly="0" labelOnly="1" outline="0" axis="axisRow" fieldPosition="0"/>
    </format>
    <format dxfId="69">
      <pivotArea dataOnly="0" labelOnly="1" fieldPosition="0">
        <references count="1">
          <reference field="0" count="0"/>
        </references>
      </pivotArea>
    </format>
    <format dxfId="68">
      <pivotArea dataOnly="0" labelOnly="1" grandRow="1" outline="0" fieldPosition="0"/>
    </format>
    <format dxfId="67">
      <pivotArea type="all" dataOnly="0" outline="0" fieldPosition="0"/>
    </format>
    <format dxfId="66">
      <pivotArea outline="0" collapsedLevelsAreSubtotals="1" fieldPosition="0"/>
    </format>
    <format dxfId="65">
      <pivotArea field="0" type="button" dataOnly="0" labelOnly="1" outline="0" axis="axisRow" fieldPosition="0"/>
    </format>
    <format dxfId="64">
      <pivotArea dataOnly="0" labelOnly="1" fieldPosition="0">
        <references count="1">
          <reference field="0" count="0"/>
        </references>
      </pivotArea>
    </format>
    <format dxfId="63">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480149C-65D9-47A7-A228-54EC70453CC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6:J23" firstHeaderRow="1" firstDataRow="1" firstDataCol="1"/>
  <pivotFields count="20">
    <pivotField showAll="0">
      <items count="7">
        <item x="3"/>
        <item x="1"/>
        <item x="5"/>
        <item x="2"/>
        <item x="4"/>
        <item x="0"/>
        <item t="default"/>
      </items>
    </pivotField>
    <pivotField showAll="0"/>
    <pivotField showAll="0">
      <items count="4">
        <item x="2"/>
        <item x="1"/>
        <item x="0"/>
        <item t="default"/>
      </items>
    </pivotField>
    <pivotField dataField="1"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h="1" x="0"/>
        <item x="1"/>
        <item x="2"/>
        <item x="3"/>
        <item x="4"/>
        <item x="5"/>
        <item x="6"/>
        <item t="default"/>
      </items>
    </pivotField>
  </pivotFields>
  <rowFields count="1">
    <field x="19"/>
  </rowFields>
  <rowItems count="7">
    <i>
      <x v="1"/>
    </i>
    <i>
      <x v="2"/>
    </i>
    <i>
      <x v="3"/>
    </i>
    <i>
      <x v="4"/>
    </i>
    <i>
      <x v="5"/>
    </i>
    <i>
      <x v="6"/>
    </i>
    <i t="grand">
      <x/>
    </i>
  </rowItems>
  <colItems count="1">
    <i/>
  </colItems>
  <dataFields count="1">
    <dataField name="Sum of Visitor Count" fld="3" baseField="0" baseItem="0"/>
  </dataFields>
  <formats count="14">
    <format dxfId="86">
      <pivotArea field="0" type="button" dataOnly="0" labelOnly="1" outline="0"/>
    </format>
    <format dxfId="85">
      <pivotArea dataOnly="0" labelOnly="1" outline="0" fieldPosition="0">
        <references count="1">
          <reference field="4294967294" count="1">
            <x v="0"/>
          </reference>
        </references>
      </pivotArea>
    </format>
    <format dxfId="84">
      <pivotArea type="all" dataOnly="0" outline="0" fieldPosition="0"/>
    </format>
    <format dxfId="83">
      <pivotArea outline="0" collapsedLevelsAreSubtotals="1" fieldPosition="0"/>
    </format>
    <format dxfId="82">
      <pivotArea field="19" type="button" dataOnly="0" labelOnly="1" outline="0" axis="axisRow" fieldPosition="0"/>
    </format>
    <format dxfId="81">
      <pivotArea dataOnly="0" labelOnly="1" fieldPosition="0">
        <references count="1">
          <reference field="19" count="0"/>
        </references>
      </pivotArea>
    </format>
    <format dxfId="80">
      <pivotArea dataOnly="0" labelOnly="1" grandRow="1" outline="0" fieldPosition="0"/>
    </format>
    <format dxfId="79">
      <pivotArea dataOnly="0" labelOnly="1" outline="0" axis="axisValues" fieldPosition="0"/>
    </format>
    <format dxfId="78">
      <pivotArea type="all" dataOnly="0" outline="0" fieldPosition="0"/>
    </format>
    <format dxfId="77">
      <pivotArea outline="0" collapsedLevelsAreSubtotals="1" fieldPosition="0"/>
    </format>
    <format dxfId="76">
      <pivotArea field="19" type="button" dataOnly="0" labelOnly="1" outline="0" axis="axisRow" fieldPosition="0"/>
    </format>
    <format dxfId="75">
      <pivotArea dataOnly="0" labelOnly="1" fieldPosition="0">
        <references count="1">
          <reference field="19" count="0"/>
        </references>
      </pivotArea>
    </format>
    <format dxfId="74">
      <pivotArea dataOnly="0" labelOnly="1" grandRow="1" outline="0" fieldPosition="0"/>
    </format>
    <format dxfId="7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05129B2-EB4B-405B-8665-613063C8CD8F}" name="PivotTable1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X16:Y23" firstHeaderRow="1" firstDataRow="1" firstDataCol="1"/>
  <pivotFields count="20">
    <pivotField axis="axisRow" showAll="0">
      <items count="7">
        <item x="3"/>
        <item x="1"/>
        <item x="5"/>
        <item x="2"/>
        <item x="4"/>
        <item x="0"/>
        <item t="default"/>
      </items>
    </pivotField>
    <pivotField showAll="0"/>
    <pivotField showAll="0">
      <items count="4">
        <item x="2"/>
        <item x="1"/>
        <item x="0"/>
        <item t="default"/>
      </items>
    </pivotField>
    <pivotField dataField="1" showAll="0"/>
    <pivotField numFmtId="14" showAll="0"/>
    <pivotField showAll="0"/>
    <pivotField showAll="0"/>
    <pivotField showAll="0"/>
    <pivotField showAll="0"/>
    <pivotField showAll="0"/>
    <pivotField showAll="0"/>
    <pivotField showAll="0"/>
    <pivotField showAll="0">
      <items count="4">
        <item x="1"/>
        <item x="2"/>
        <item x="0"/>
        <item t="default"/>
      </items>
    </pivotField>
    <pivotField showAll="0"/>
    <pivotField showAll="0">
      <items count="5">
        <item x="1"/>
        <item x="0"/>
        <item x="2"/>
        <item x="3"/>
        <item t="default"/>
      </items>
    </pivotField>
    <pivotField showAll="0"/>
    <pivotField showAll="0">
      <items count="4">
        <item x="1"/>
        <item x="2"/>
        <item x="0"/>
        <item t="default"/>
      </items>
    </pivotField>
    <pivotField showAll="0"/>
    <pivotField showAll="0"/>
    <pivotField showAll="0">
      <items count="8">
        <item h="1" x="0"/>
        <item x="1"/>
        <item x="2"/>
        <item x="3"/>
        <item x="4"/>
        <item x="5"/>
        <item x="6"/>
        <item t="default"/>
      </items>
    </pivotField>
  </pivotFields>
  <rowFields count="1">
    <field x="0"/>
  </rowFields>
  <rowItems count="7">
    <i>
      <x/>
    </i>
    <i>
      <x v="1"/>
    </i>
    <i>
      <x v="2"/>
    </i>
    <i>
      <x v="3"/>
    </i>
    <i>
      <x v="4"/>
    </i>
    <i>
      <x v="5"/>
    </i>
    <i t="grand">
      <x/>
    </i>
  </rowItems>
  <colItems count="1">
    <i/>
  </colItems>
  <dataFields count="1">
    <dataField name="Sum of Visitor Count" fld="3" baseField="0" baseItem="0"/>
  </dataFields>
  <formats count="20">
    <format dxfId="106">
      <pivotArea field="0" type="button" dataOnly="0" labelOnly="1" outline="0" axis="axisRow" fieldPosition="0"/>
    </format>
    <format dxfId="105">
      <pivotArea type="all" dataOnly="0" outline="0" fieldPosition="0"/>
    </format>
    <format dxfId="104">
      <pivotArea outline="0" collapsedLevelsAreSubtotals="1" fieldPosition="0"/>
    </format>
    <format dxfId="103">
      <pivotArea field="19" type="button" dataOnly="0" labelOnly="1" outline="0"/>
    </format>
    <format dxfId="102">
      <pivotArea type="all" dataOnly="0" outline="0" fieldPosition="0"/>
    </format>
    <format dxfId="101">
      <pivotArea outline="0" collapsedLevelsAreSubtotals="1" fieldPosition="0"/>
    </format>
    <format dxfId="100">
      <pivotArea field="19" type="button" dataOnly="0" labelOnly="1" outline="0"/>
    </format>
    <format dxfId="99">
      <pivotArea outline="0" collapsedLevelsAreSubtotals="1" fieldPosition="0"/>
    </format>
    <format dxfId="98">
      <pivotArea type="all" dataOnly="0" outline="0" fieldPosition="0"/>
    </format>
    <format dxfId="97">
      <pivotArea outline="0" collapsedLevelsAreSubtotals="1" fieldPosition="0"/>
    </format>
    <format dxfId="96">
      <pivotArea field="0" type="button" dataOnly="0" labelOnly="1" outline="0" axis="axisRow" fieldPosition="0"/>
    </format>
    <format dxfId="95">
      <pivotArea dataOnly="0" labelOnly="1" fieldPosition="0">
        <references count="1">
          <reference field="0" count="0"/>
        </references>
      </pivotArea>
    </format>
    <format dxfId="94">
      <pivotArea dataOnly="0" labelOnly="1" grandRow="1" outline="0" fieldPosition="0"/>
    </format>
    <format dxfId="93">
      <pivotArea dataOnly="0" labelOnly="1" outline="0" axis="axisValues" fieldPosition="0"/>
    </format>
    <format dxfId="92">
      <pivotArea type="all" dataOnly="0" outline="0" fieldPosition="0"/>
    </format>
    <format dxfId="91">
      <pivotArea outline="0" collapsedLevelsAreSubtotals="1" fieldPosition="0"/>
    </format>
    <format dxfId="90">
      <pivotArea field="0" type="button" dataOnly="0" labelOnly="1" outline="0" axis="axisRow" fieldPosition="0"/>
    </format>
    <format dxfId="89">
      <pivotArea dataOnly="0" labelOnly="1" fieldPosition="0">
        <references count="1">
          <reference field="0" count="0"/>
        </references>
      </pivotArea>
    </format>
    <format dxfId="88">
      <pivotArea dataOnly="0" labelOnly="1" grandRow="1" outline="0" fieldPosition="0"/>
    </format>
    <format dxfId="8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015E063-460B-4354-99D8-A9B9CEA8B1F4}" name="PivotTable1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U16:V20" firstHeaderRow="1" firstDataRow="1" firstDataCol="1"/>
  <pivotFields count="20">
    <pivotField showAll="0">
      <items count="7">
        <item x="3"/>
        <item x="1"/>
        <item x="5"/>
        <item x="2"/>
        <item x="4"/>
        <item x="0"/>
        <item t="default"/>
      </items>
    </pivotField>
    <pivotField showAll="0"/>
    <pivotField showAll="0">
      <items count="4">
        <item x="2"/>
        <item x="1"/>
        <item x="0"/>
        <item t="default"/>
      </items>
    </pivotField>
    <pivotField showAll="0"/>
    <pivotField numFmtId="14" showAll="0"/>
    <pivotField showAll="0"/>
    <pivotField showAll="0"/>
    <pivotField showAll="0"/>
    <pivotField showAll="0"/>
    <pivotField showAll="0"/>
    <pivotField showAll="0"/>
    <pivotField showAll="0"/>
    <pivotField showAll="0">
      <items count="4">
        <item x="1"/>
        <item x="2"/>
        <item x="0"/>
        <item t="default"/>
      </items>
    </pivotField>
    <pivotField showAll="0"/>
    <pivotField showAll="0">
      <items count="5">
        <item x="1"/>
        <item x="0"/>
        <item x="2"/>
        <item x="3"/>
        <item t="default"/>
      </items>
    </pivotField>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dataField="1" showAll="0"/>
    <pivotField showAll="0"/>
    <pivotField showAll="0">
      <items count="8">
        <item h="1" x="0"/>
        <item x="1"/>
        <item x="2"/>
        <item x="3"/>
        <item x="4"/>
        <item x="5"/>
        <item x="6"/>
        <item t="default"/>
      </items>
    </pivotField>
  </pivotFields>
  <rowFields count="1">
    <field x="16"/>
  </rowFields>
  <rowItems count="4">
    <i>
      <x v="2"/>
    </i>
    <i>
      <x/>
    </i>
    <i>
      <x v="1"/>
    </i>
    <i t="grand">
      <x/>
    </i>
  </rowItems>
  <colItems count="1">
    <i/>
  </colItems>
  <dataFields count="1">
    <dataField name="Average of Conversion % (Page)" fld="17" subtotal="average" baseField="16" baseItem="0"/>
  </dataFields>
  <formats count="12">
    <format dxfId="118">
      <pivotArea field="0" type="button" dataOnly="0" labelOnly="1" outline="0"/>
    </format>
    <format dxfId="117">
      <pivotArea type="all" dataOnly="0" outline="0" fieldPosition="0"/>
    </format>
    <format dxfId="116">
      <pivotArea outline="0" collapsedLevelsAreSubtotals="1" fieldPosition="0"/>
    </format>
    <format dxfId="115">
      <pivotArea field="19" type="button" dataOnly="0" labelOnly="1" outline="0"/>
    </format>
    <format dxfId="114">
      <pivotArea dataOnly="0" labelOnly="1" grandRow="1" outline="0" fieldPosition="0"/>
    </format>
    <format dxfId="113">
      <pivotArea dataOnly="0" labelOnly="1" outline="0" axis="axisValues" fieldPosition="0"/>
    </format>
    <format dxfId="112">
      <pivotArea type="all" dataOnly="0" outline="0" fieldPosition="0"/>
    </format>
    <format dxfId="111">
      <pivotArea outline="0" collapsedLevelsAreSubtotals="1" fieldPosition="0"/>
    </format>
    <format dxfId="110">
      <pivotArea field="19" type="button" dataOnly="0" labelOnly="1" outline="0"/>
    </format>
    <format dxfId="109">
      <pivotArea dataOnly="0" labelOnly="1" grandRow="1" outline="0" fieldPosition="0"/>
    </format>
    <format dxfId="108">
      <pivotArea dataOnly="0" labelOnly="1" outline="0" axis="axisValues" fieldPosition="0"/>
    </format>
    <format dxfId="10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1A6ECC0-F5D8-4E17-8896-3C8F2DAA4C14}"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6:C23" firstHeaderRow="0" firstDataRow="1" firstDataCol="1"/>
  <pivotFields count="20">
    <pivotField axis="axisRow" showAll="0">
      <items count="7">
        <item x="3"/>
        <item x="1"/>
        <item x="5"/>
        <item x="2"/>
        <item x="4"/>
        <item x="0"/>
        <item t="default"/>
      </items>
    </pivotField>
    <pivotField showAll="0"/>
    <pivotField showAll="0"/>
    <pivotField dataField="1"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h="1" x="0"/>
        <item x="1"/>
        <item x="2"/>
        <item x="3"/>
        <item x="4"/>
        <item x="5"/>
        <item x="6"/>
        <item t="default"/>
      </items>
    </pivotField>
  </pivotFields>
  <rowFields count="1">
    <field x="0"/>
  </rowFields>
  <rowItems count="7">
    <i>
      <x/>
    </i>
    <i>
      <x v="1"/>
    </i>
    <i>
      <x v="2"/>
    </i>
    <i>
      <x v="3"/>
    </i>
    <i>
      <x v="4"/>
    </i>
    <i>
      <x v="5"/>
    </i>
    <i t="grand">
      <x/>
    </i>
  </rowItems>
  <colFields count="1">
    <field x="-2"/>
  </colFields>
  <colItems count="2">
    <i>
      <x/>
    </i>
    <i i="1">
      <x v="1"/>
    </i>
  </colItems>
  <dataFields count="2">
    <dataField name="Sum of Visitor Count" fld="3" baseField="0" baseItem="0"/>
    <dataField name="Sum of Visitor Count2" fld="3" showDataAs="percentOfTotal" baseField="0" baseItem="0" numFmtId="10"/>
  </dataFields>
  <formats count="21">
    <format dxfId="139">
      <pivotArea collapsedLevelsAreSubtotals="1" fieldPosition="0">
        <references count="2">
          <reference field="4294967294" count="1" selected="0">
            <x v="1"/>
          </reference>
          <reference field="0" count="1">
            <x v="0"/>
          </reference>
        </references>
      </pivotArea>
    </format>
    <format dxfId="138">
      <pivotArea collapsedLevelsAreSubtotals="1" fieldPosition="0">
        <references count="2">
          <reference field="4294967294" count="1" selected="0">
            <x v="1"/>
          </reference>
          <reference field="0" count="1">
            <x v="1"/>
          </reference>
        </references>
      </pivotArea>
    </format>
    <format dxfId="137">
      <pivotArea collapsedLevelsAreSubtotals="1" fieldPosition="0">
        <references count="2">
          <reference field="4294967294" count="1" selected="0">
            <x v="1"/>
          </reference>
          <reference field="0" count="1">
            <x v="2"/>
          </reference>
        </references>
      </pivotArea>
    </format>
    <format dxfId="136">
      <pivotArea collapsedLevelsAreSubtotals="1" fieldPosition="0">
        <references count="2">
          <reference field="4294967294" count="1" selected="0">
            <x v="1"/>
          </reference>
          <reference field="0" count="1">
            <x v="3"/>
          </reference>
        </references>
      </pivotArea>
    </format>
    <format dxfId="135">
      <pivotArea collapsedLevelsAreSubtotals="1" fieldPosition="0">
        <references count="2">
          <reference field="4294967294" count="1" selected="0">
            <x v="1"/>
          </reference>
          <reference field="0" count="1">
            <x v="4"/>
          </reference>
        </references>
      </pivotArea>
    </format>
    <format dxfId="134">
      <pivotArea collapsedLevelsAreSubtotals="1" fieldPosition="0">
        <references count="2">
          <reference field="4294967294" count="1" selected="0">
            <x v="1"/>
          </reference>
          <reference field="0" count="1">
            <x v="5"/>
          </reference>
        </references>
      </pivotArea>
    </format>
    <format dxfId="133">
      <pivotArea field="0" grandRow="1" outline="0" collapsedLevelsAreSubtotals="1" axis="axisRow" fieldPosition="0">
        <references count="1">
          <reference field="4294967294" count="1" selected="0">
            <x v="1"/>
          </reference>
        </references>
      </pivotArea>
    </format>
    <format dxfId="132">
      <pivotArea field="0" type="button" dataOnly="0" labelOnly="1" outline="0" axis="axisRow" fieldPosition="0"/>
    </format>
    <format dxfId="131">
      <pivotArea dataOnly="0" labelOnly="1" outline="0" fieldPosition="0">
        <references count="1">
          <reference field="4294967294" count="2">
            <x v="0"/>
            <x v="1"/>
          </reference>
        </references>
      </pivotArea>
    </format>
    <format dxfId="130">
      <pivotArea type="all" dataOnly="0" outline="0" fieldPosition="0"/>
    </format>
    <format dxfId="129">
      <pivotArea outline="0" collapsedLevelsAreSubtotals="1" fieldPosition="0"/>
    </format>
    <format dxfId="128">
      <pivotArea field="0" type="button" dataOnly="0" labelOnly="1" outline="0" axis="axisRow" fieldPosition="0"/>
    </format>
    <format dxfId="127">
      <pivotArea dataOnly="0" labelOnly="1" fieldPosition="0">
        <references count="1">
          <reference field="0" count="0"/>
        </references>
      </pivotArea>
    </format>
    <format dxfId="126">
      <pivotArea dataOnly="0" labelOnly="1" grandRow="1" outline="0" fieldPosition="0"/>
    </format>
    <format dxfId="125">
      <pivotArea dataOnly="0" labelOnly="1" outline="0" fieldPosition="0">
        <references count="1">
          <reference field="4294967294" count="2">
            <x v="0"/>
            <x v="1"/>
          </reference>
        </references>
      </pivotArea>
    </format>
    <format dxfId="124">
      <pivotArea type="all" dataOnly="0" outline="0" fieldPosition="0"/>
    </format>
    <format dxfId="123">
      <pivotArea outline="0" collapsedLevelsAreSubtotals="1" fieldPosition="0"/>
    </format>
    <format dxfId="122">
      <pivotArea field="0" type="button" dataOnly="0" labelOnly="1" outline="0" axis="axisRow" fieldPosition="0"/>
    </format>
    <format dxfId="121">
      <pivotArea dataOnly="0" labelOnly="1" fieldPosition="0">
        <references count="1">
          <reference field="0" count="0"/>
        </references>
      </pivotArea>
    </format>
    <format dxfId="120">
      <pivotArea dataOnly="0" labelOnly="1" grandRow="1" outline="0" fieldPosition="0"/>
    </format>
    <format dxfId="119">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F52CC00-122F-4D95-B536-82C69E2F80A3}"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E16:G20" firstHeaderRow="0" firstDataRow="1" firstDataCol="1"/>
  <pivotFields count="20">
    <pivotField showAll="0">
      <items count="7">
        <item x="3"/>
        <item x="1"/>
        <item x="5"/>
        <item x="2"/>
        <item x="4"/>
        <item x="0"/>
        <item t="default"/>
      </items>
    </pivotField>
    <pivotField showAll="0"/>
    <pivotField axis="axisRow" showAll="0">
      <items count="4">
        <item x="2"/>
        <item x="1"/>
        <item x="0"/>
        <item t="default"/>
      </items>
    </pivotField>
    <pivotField dataField="1"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h="1" x="0"/>
        <item x="1"/>
        <item x="2"/>
        <item x="3"/>
        <item x="4"/>
        <item x="5"/>
        <item x="6"/>
        <item t="default"/>
      </items>
    </pivotField>
  </pivotFields>
  <rowFields count="1">
    <field x="2"/>
  </rowFields>
  <rowItems count="4">
    <i>
      <x/>
    </i>
    <i>
      <x v="1"/>
    </i>
    <i>
      <x v="2"/>
    </i>
    <i t="grand">
      <x/>
    </i>
  </rowItems>
  <colFields count="1">
    <field x="-2"/>
  </colFields>
  <colItems count="2">
    <i>
      <x/>
    </i>
    <i i="1">
      <x v="1"/>
    </i>
  </colItems>
  <dataFields count="2">
    <dataField name="Sum of Visitor Count" fld="3" baseField="0" baseItem="0"/>
    <dataField name="Sum of Visitor Count2" fld="3" showDataAs="percentOfTotal" baseField="0" baseItem="0" numFmtId="10"/>
  </dataFields>
  <formats count="16">
    <format dxfId="155">
      <pivotArea field="0" grandRow="1" outline="0" collapsedLevelsAreSubtotals="1">
        <references count="1">
          <reference field="4294967294" count="1" selected="0">
            <x v="1"/>
          </reference>
        </references>
      </pivotArea>
    </format>
    <format dxfId="154">
      <pivotArea field="0" type="button" dataOnly="0" labelOnly="1" outline="0"/>
    </format>
    <format dxfId="153">
      <pivotArea dataOnly="0" labelOnly="1" outline="0" fieldPosition="0">
        <references count="1">
          <reference field="4294967294" count="2">
            <x v="0"/>
            <x v="1"/>
          </reference>
        </references>
      </pivotArea>
    </format>
    <format dxfId="152">
      <pivotArea type="all" dataOnly="0" outline="0" fieldPosition="0"/>
    </format>
    <format dxfId="151">
      <pivotArea outline="0" collapsedLevelsAreSubtotals="1" fieldPosition="0"/>
    </format>
    <format dxfId="150">
      <pivotArea field="0" type="button" dataOnly="0" labelOnly="1" outline="0"/>
    </format>
    <format dxfId="149">
      <pivotArea dataOnly="0" labelOnly="1" grandRow="1" outline="0" fieldPosition="0"/>
    </format>
    <format dxfId="148">
      <pivotArea dataOnly="0" labelOnly="1" outline="0" fieldPosition="0">
        <references count="1">
          <reference field="4294967294" count="2">
            <x v="0"/>
            <x v="1"/>
          </reference>
        </references>
      </pivotArea>
    </format>
    <format dxfId="147">
      <pivotArea type="all" dataOnly="0" outline="0" fieldPosition="0"/>
    </format>
    <format dxfId="146">
      <pivotArea outline="0" collapsedLevelsAreSubtotals="1" fieldPosition="0"/>
    </format>
    <format dxfId="145">
      <pivotArea field="0" type="button" dataOnly="0" labelOnly="1" outline="0"/>
    </format>
    <format dxfId="144">
      <pivotArea dataOnly="0" labelOnly="1" grandRow="1" outline="0" fieldPosition="0"/>
    </format>
    <format dxfId="143">
      <pivotArea dataOnly="0" labelOnly="1" outline="0" fieldPosition="0">
        <references count="1">
          <reference field="4294967294" count="2">
            <x v="0"/>
            <x v="1"/>
          </reference>
        </references>
      </pivotArea>
    </format>
    <format dxfId="142">
      <pivotArea collapsedLevelsAreSubtotals="1" fieldPosition="0">
        <references count="2">
          <reference field="4294967294" count="1" selected="0">
            <x v="1"/>
          </reference>
          <reference field="2" count="1">
            <x v="0"/>
          </reference>
        </references>
      </pivotArea>
    </format>
    <format dxfId="141">
      <pivotArea collapsedLevelsAreSubtotals="1" fieldPosition="0">
        <references count="2">
          <reference field="4294967294" count="1" selected="0">
            <x v="1"/>
          </reference>
          <reference field="2" count="1">
            <x v="1"/>
          </reference>
        </references>
      </pivotArea>
    </format>
    <format dxfId="140">
      <pivotArea collapsedLevelsAreSubtotals="1" fieldPosition="0">
        <references count="2">
          <reference field="4294967294" count="1" selected="0">
            <x v="1"/>
          </reference>
          <reference field="2"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D97D356-CC2D-434C-B9F5-B30693CD08D1}" name="PivotTable1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R16:S21" firstHeaderRow="1" firstDataRow="1" firstDataCol="1"/>
  <pivotFields count="20">
    <pivotField showAll="0">
      <items count="7">
        <item x="3"/>
        <item x="1"/>
        <item x="5"/>
        <item x="2"/>
        <item x="4"/>
        <item x="0"/>
        <item t="default"/>
      </items>
    </pivotField>
    <pivotField showAll="0"/>
    <pivotField showAll="0">
      <items count="4">
        <item x="2"/>
        <item x="1"/>
        <item x="0"/>
        <item t="default"/>
      </items>
    </pivotField>
    <pivotField showAll="0"/>
    <pivotField numFmtId="14" showAll="0"/>
    <pivotField showAll="0"/>
    <pivotField showAll="0"/>
    <pivotField showAll="0"/>
    <pivotField showAll="0"/>
    <pivotField showAll="0"/>
    <pivotField showAll="0"/>
    <pivotField showAll="0"/>
    <pivotField showAll="0">
      <items count="4">
        <item x="1"/>
        <item x="2"/>
        <item x="0"/>
        <item t="default"/>
      </items>
    </pivotField>
    <pivotField showAll="0"/>
    <pivotField axis="axisRow"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items count="2">
        <item x="0"/>
        <item t="default"/>
      </items>
    </pivotField>
    <pivotField showAll="0">
      <items count="8">
        <item h="1" x="0"/>
        <item x="1"/>
        <item x="2"/>
        <item x="3"/>
        <item x="4"/>
        <item x="5"/>
        <item x="6"/>
        <item t="default"/>
      </items>
    </pivotField>
  </pivotFields>
  <rowFields count="1">
    <field x="14"/>
  </rowFields>
  <rowItems count="5">
    <i>
      <x/>
    </i>
    <i>
      <x v="2"/>
    </i>
    <i>
      <x v="1"/>
    </i>
    <i>
      <x v="3"/>
    </i>
    <i t="grand">
      <x/>
    </i>
  </rowItems>
  <colItems count="1">
    <i/>
  </colItems>
  <dataFields count="1">
    <dataField name="Average of Conversion % (Campaign)" fld="15" subtotal="average" baseField="14" baseItem="0"/>
  </dataFields>
  <formats count="12">
    <format dxfId="167">
      <pivotArea field="0" type="button" dataOnly="0" labelOnly="1" outline="0"/>
    </format>
    <format dxfId="166">
      <pivotArea type="all" dataOnly="0" outline="0" fieldPosition="0"/>
    </format>
    <format dxfId="165">
      <pivotArea outline="0" collapsedLevelsAreSubtotals="1" fieldPosition="0"/>
    </format>
    <format dxfId="164">
      <pivotArea field="19" type="button" dataOnly="0" labelOnly="1" outline="0"/>
    </format>
    <format dxfId="163">
      <pivotArea dataOnly="0" labelOnly="1" grandRow="1" outline="0" fieldPosition="0"/>
    </format>
    <format dxfId="162">
      <pivotArea dataOnly="0" labelOnly="1" outline="0" axis="axisValues" fieldPosition="0"/>
    </format>
    <format dxfId="161">
      <pivotArea type="all" dataOnly="0" outline="0" fieldPosition="0"/>
    </format>
    <format dxfId="160">
      <pivotArea outline="0" collapsedLevelsAreSubtotals="1" fieldPosition="0"/>
    </format>
    <format dxfId="159">
      <pivotArea field="19" type="button" dataOnly="0" labelOnly="1" outline="0"/>
    </format>
    <format dxfId="158">
      <pivotArea dataOnly="0" labelOnly="1" grandRow="1" outline="0" fieldPosition="0"/>
    </format>
    <format dxfId="157">
      <pivotArea dataOnly="0" labelOnly="1" outline="0" axis="axisValues" fieldPosition="0"/>
    </format>
    <format dxfId="15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148CB45-2CFC-4EAE-B0D2-1E99A7C51A41}" sourceName="Month">
  <pivotTables>
    <pivotTable tabId="7" name="PivotTable13"/>
    <pivotTable tabId="7" name="PivotTable1"/>
    <pivotTable tabId="7" name="PivotTable10"/>
    <pivotTable tabId="7" name="PivotTable11"/>
    <pivotTable tabId="7" name="PivotTable12"/>
    <pivotTable tabId="7" name="PivotTable14"/>
    <pivotTable tabId="7" name="PivotTable15"/>
    <pivotTable tabId="7" name="PivotTable2"/>
    <pivotTable tabId="7" name="PivotTable3"/>
    <pivotTable tabId="7" name="PivotTable4"/>
    <pivotTable tabId="7" name="PivotTable6"/>
    <pivotTable tabId="7" name="PivotTable7"/>
  </pivotTables>
  <data>
    <tabular pivotCacheId="336272048">
      <items count="7">
        <i x="0"/>
        <i x="1" s="1"/>
        <i x="2" s="1"/>
        <i x="3" s="1"/>
        <i x="4" s="1"/>
        <i x="5"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3C2359DF-7E53-4F82-892F-FB0A84AEEEE5}" cache="Slicer_Month" caption="Month" columnCount="2" style="SlicerStyleDark5"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6390044-5FC2-4C34-AC9D-07781FE0ECAE}" name="Table1" displayName="Table1" ref="A1:T196" totalsRowShown="0" headerRowDxfId="193" headerRowBorderDxfId="192" tableBorderDxfId="191" totalsRowBorderDxfId="190">
  <autoFilter ref="A1:T196" xr:uid="{36390044-5FC2-4C34-AC9D-07781FE0ECAE}"/>
  <tableColumns count="20">
    <tableColumn id="1" xr3:uid="{E1CA3B8F-BFEC-4FF8-A65F-F681051B441E}" name="Traffic Source Type" dataDxfId="189"/>
    <tableColumn id="2" xr3:uid="{DC5618AA-7EDD-40F9-8A5D-C59D5B55E299}" name="Traffic Source %" dataDxfId="188"/>
    <tableColumn id="3" xr3:uid="{E2CCCBB7-C2D2-4E42-9BF1-CDC545D9585E}" name="Visitor Type" dataDxfId="187"/>
    <tableColumn id="4" xr3:uid="{5E9449D5-504F-4029-AEF9-A0263A68F310}" name="Visitor Count" dataDxfId="186"/>
    <tableColumn id="5" xr3:uid="{54AC894A-EFE8-4177-A69B-A946186F5F1B}" name="Visitor Date" dataDxfId="185"/>
    <tableColumn id="6" xr3:uid="{6DBB430A-62D9-4258-B03A-618E5F43D2FE}" name="Visits (in thousands)" dataDxfId="184"/>
    <tableColumn id="7" xr3:uid="{A4FA980F-3D75-43D6-B1A3-97A32E0BC025}" name="Bounce Rate %" dataDxfId="183"/>
    <tableColumn id="8" xr3:uid="{B2312E1B-B039-41C6-93F0-60A3F4280EA4}" name="Avg. Session Duration (sec)" dataDxfId="182"/>
    <tableColumn id="9" xr3:uid="{3976FDF3-41BF-4DEC-B3DD-BF4FE7818496}" name="Pages Per Visit" dataDxfId="181"/>
    <tableColumn id="10" xr3:uid="{786027DF-77CD-4154-B30B-7FDFA5FC9460}" name="Bounce Rate" dataDxfId="180"/>
    <tableColumn id="11" xr3:uid="{7CD0B733-37D3-4E99-AA03-4A5FE321540C}" name="Total Page Views" dataDxfId="179"/>
    <tableColumn id="12" xr3:uid="{117E0734-EDC4-4441-94A6-44DC1FEAE985}" name="Goal Conversion Rate %" dataDxfId="178"/>
    <tableColumn id="13" xr3:uid="{2188E343-F04A-43B2-AC14-4DB87C4AA598}" name="Channel" dataDxfId="177"/>
    <tableColumn id="14" xr3:uid="{1C9E5C30-0530-4AE7-94E8-E4909528A1BD}" name="Conversion % (Channel)" dataDxfId="176"/>
    <tableColumn id="15" xr3:uid="{EFA484F8-CC74-4B1B-8D7F-F5C96DE8F77C}" name="Campaign Name" dataDxfId="175"/>
    <tableColumn id="16" xr3:uid="{FEAD640B-927F-4A82-B5DA-AD447F27C3E8}" name="Conversion % (Campaign)" dataDxfId="174"/>
    <tableColumn id="17" xr3:uid="{CFD84123-381B-4E06-872D-4A0A161684FE}" name="Page Name" dataDxfId="173"/>
    <tableColumn id="18" xr3:uid="{F5CE0236-71B0-4155-81B2-94FA3212D8A4}" name="Conversion % (Page)" dataDxfId="172"/>
    <tableColumn id="19" xr3:uid="{D396C6B7-0907-4B75-BFF4-9B21FD88BC3B}" name="Year" dataDxfId="171">
      <calculatedColumnFormula>YEAR(Table1[[#This Row],[Visitor Date]])</calculatedColumnFormula>
    </tableColumn>
    <tableColumn id="20" xr3:uid="{C9B83446-2A5B-4790-9F61-296196263154}" name="Month" dataDxfId="170">
      <calculatedColumnFormula>TEXT(Table1[[#This Row],[Visitor Date]],"mmm")</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CF2F7E6-F69D-41D4-AFF0-F6413A789D92}" name="Table2" displayName="Table2" ref="A3:T198" totalsRowShown="0">
  <autoFilter ref="A3:T198" xr:uid="{4CF2F7E6-F69D-41D4-AFF0-F6413A789D92}"/>
  <tableColumns count="20">
    <tableColumn id="1" xr3:uid="{C7C1B034-C512-4CF4-BD0B-38352D8EBB30}" name="Traffic Source Type"/>
    <tableColumn id="2" xr3:uid="{CBF31875-1A26-49F7-B779-B565766A98E8}" name="Traffic Source %"/>
    <tableColumn id="3" xr3:uid="{601C8651-41CE-4E6C-81B2-518C8E1C5F23}" name="Visitor Type"/>
    <tableColumn id="4" xr3:uid="{785E2DAA-3BF7-4E0C-AF07-B801C5E12145}" name="Visitor Count"/>
    <tableColumn id="5" xr3:uid="{1CA65E40-4809-4D72-A926-F8F51F799618}" name="Visitor Date" dataDxfId="169"/>
    <tableColumn id="6" xr3:uid="{B028CEE9-7037-40CB-8957-FD246EAE5A5F}" name="Visits (in thousands)"/>
    <tableColumn id="7" xr3:uid="{329CD23A-AB8B-482C-828C-F217504B4C93}" name="Bounce Rate %"/>
    <tableColumn id="8" xr3:uid="{C0C5FC3C-E9D4-4FEC-A4C4-04AE2F234852}" name="Avg. Session Duration (sec)"/>
    <tableColumn id="9" xr3:uid="{F688FA25-7159-4781-A58E-517103B723E6}" name="Pages Per Visit"/>
    <tableColumn id="10" xr3:uid="{F59D15F9-2673-44E3-8AFB-305E17D3B6D0}" name="Bounce Rate"/>
    <tableColumn id="11" xr3:uid="{8769380B-C6EA-4010-BF06-9DD150F252AD}" name="Total Page Views"/>
    <tableColumn id="12" xr3:uid="{65D164D1-70D0-49B3-BE75-B031E45511AC}" name="Goal Conversion Rate %"/>
    <tableColumn id="13" xr3:uid="{683A56DA-5C5B-4088-B268-F375A25FE502}" name="Channel"/>
    <tableColumn id="14" xr3:uid="{F0C67E78-507F-452B-A599-ED8BC4BDBB06}" name="Conversion % (Channel)"/>
    <tableColumn id="15" xr3:uid="{CB669F59-7B13-4E5C-9EEA-7B18B03F15FA}" name="Campaign Name"/>
    <tableColumn id="16" xr3:uid="{A5D75A9F-56F1-43E2-BDBD-86177BD2EFF6}" name="Conversion % (Campaign)"/>
    <tableColumn id="17" xr3:uid="{BAD237EA-0210-406E-9976-465374D1E7BB}" name="Page Name"/>
    <tableColumn id="18" xr3:uid="{4234E37B-608C-4C8D-B10F-4234177AFD02}" name="Conversion % (Page)"/>
    <tableColumn id="19" xr3:uid="{EF28A9CA-6E80-418D-A192-E0F6E6EEE740}" name="Year"/>
    <tableColumn id="20" xr3:uid="{56C4F529-B83F-4B41-A0D2-557919B72696}" name="Month"/>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0DF9AB9-0A70-42B3-A252-77436A4F4BCF}" name="Table3" displayName="Table3" ref="A3:T198" totalsRowShown="0">
  <autoFilter ref="A3:T198" xr:uid="{70DF9AB9-0A70-42B3-A252-77436A4F4BCF}"/>
  <tableColumns count="20">
    <tableColumn id="1" xr3:uid="{F08F5502-653F-4E21-9EA1-2D56814A05C1}" name="Traffic Source Type"/>
    <tableColumn id="2" xr3:uid="{29305230-5FE3-4D15-BA80-1BC22D4CFAAC}" name="Traffic Source %"/>
    <tableColumn id="3" xr3:uid="{2A54D637-9DDF-4B0C-B567-99C261AD9008}" name="Visitor Type"/>
    <tableColumn id="4" xr3:uid="{975C8547-985B-4618-8E22-E9178E20C1A8}" name="Visitor Count"/>
    <tableColumn id="5" xr3:uid="{9D042799-4193-4A9A-B45C-78302B6FE1FA}" name="Visitor Date" dataDxfId="168"/>
    <tableColumn id="6" xr3:uid="{BE9BF1B4-51FE-41C6-9E36-89FF57384D04}" name="Visits (in thousands)"/>
    <tableColumn id="7" xr3:uid="{BD3A17E8-0BCB-4550-AAAC-0021A3F28EFF}" name="Bounce Rate %"/>
    <tableColumn id="8" xr3:uid="{41EC81FA-C4FA-4642-A771-F142F9362BF3}" name="Avg. Session Duration (sec)"/>
    <tableColumn id="9" xr3:uid="{D149DC2F-C65A-43A9-880F-D8B92F11B7BC}" name="Pages Per Visit"/>
    <tableColumn id="10" xr3:uid="{87C3844C-ADC3-41F8-877D-327CDE4F53FA}" name="Bounce Rate"/>
    <tableColumn id="11" xr3:uid="{5BC50F39-4359-4A31-A388-6A0B0BC0970B}" name="Total Page Views"/>
    <tableColumn id="12" xr3:uid="{96663DEC-9C4E-4FC3-BC02-C89BFE9048B5}" name="Goal Conversion Rate %"/>
    <tableColumn id="13" xr3:uid="{08B2A222-5C85-4192-A556-2B35F9F018CA}" name="Channel"/>
    <tableColumn id="14" xr3:uid="{694CC3BD-1DA0-4A00-A846-21F54FDB7585}" name="Conversion % (Channel)"/>
    <tableColumn id="15" xr3:uid="{67F2CCE8-227D-4316-974C-623892A22D5D}" name="Campaign Name"/>
    <tableColumn id="16" xr3:uid="{1528DB12-040A-445B-BE70-B06D60F2F817}" name="Conversion % (Campaign)"/>
    <tableColumn id="17" xr3:uid="{595ACC17-9C44-4F28-9EF3-110BF066B2BD}" name="Page Name"/>
    <tableColumn id="18" xr3:uid="{2D7546F1-DA8D-4AE8-8CB6-9CEC0E377EE9}" name="Conversion % (Page)"/>
    <tableColumn id="19" xr3:uid="{9D80174F-3991-43C5-A997-76E8FD01BC96}" name="Year"/>
    <tableColumn id="20" xr3:uid="{36A3D60B-A8F1-4B5B-96F9-DB208A58B0C9}" name="Month"/>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6EBF79E-A723-4E49-A69F-D90D405A8C90}" name="Table8" displayName="Table8" ref="A2:B8" totalsRowShown="0" headerRowDxfId="6" dataDxfId="4" headerRowBorderDxfId="5" tableBorderDxfId="3" totalsRowBorderDxfId="2">
  <autoFilter ref="A2:B8" xr:uid="{C6EBF79E-A723-4E49-A69F-D90D405A8C90}"/>
  <tableColumns count="2">
    <tableColumn id="1" xr3:uid="{99E7557B-2B93-4821-9A67-025C98FCD241}" name="KPI" dataDxfId="1"/>
    <tableColumn id="2" xr3:uid="{3E161FBA-F91A-457F-80B6-4569F6CF0E08}" name="VALUE" dataDxfId="0">
      <calculatedColumnFormula>_xlfn.NUMBERVALUE(GETPIVOTDATA("Sum of Visitor Count",$A$16,"Traffic Source Type","Defect"))</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table" Target="../tables/table4.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9E049-AFCD-43C5-80D6-545D58F18D6D}">
  <sheetPr codeName="Sheet1"/>
  <dimension ref="A1:T196"/>
  <sheetViews>
    <sheetView zoomScale="80" zoomScaleNormal="80" workbookViewId="0">
      <pane ySplit="1" topLeftCell="A167" activePane="bottomLeft" state="frozen"/>
      <selection pane="bottomLeft" sqref="A1:T196"/>
    </sheetView>
  </sheetViews>
  <sheetFormatPr defaultRowHeight="14.4" x14ac:dyDescent="0.3"/>
  <cols>
    <col min="1" max="1" width="18.44140625" customWidth="1"/>
    <col min="2" max="2" width="16.109375" customWidth="1"/>
    <col min="3" max="3" width="12.5546875" customWidth="1"/>
    <col min="4" max="4" width="13.5546875" customWidth="1"/>
    <col min="5" max="5" width="12.5546875" customWidth="1"/>
    <col min="6" max="6" width="19.6640625" customWidth="1"/>
    <col min="7" max="7" width="15" customWidth="1"/>
    <col min="8" max="8" width="25.109375" customWidth="1"/>
    <col min="9" max="9" width="15" customWidth="1"/>
    <col min="10" max="10" width="13.109375" customWidth="1"/>
    <col min="11" max="11" width="16.5546875" customWidth="1"/>
    <col min="12" max="12" width="22.33203125" customWidth="1"/>
    <col min="13" max="13" width="9.6640625" customWidth="1"/>
    <col min="14" max="14" width="22.44140625" customWidth="1"/>
    <col min="15" max="15" width="16.6640625" customWidth="1"/>
    <col min="16" max="16" width="24.109375" customWidth="1"/>
    <col min="17" max="17" width="12.33203125" customWidth="1"/>
    <col min="18" max="18" width="19.6640625" customWidth="1"/>
  </cols>
  <sheetData>
    <row r="1" spans="1:20" x14ac:dyDescent="0.3">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36</v>
      </c>
      <c r="T1" s="3" t="s">
        <v>37</v>
      </c>
    </row>
    <row r="2" spans="1:20" x14ac:dyDescent="0.3">
      <c r="A2" s="4" t="s">
        <v>18</v>
      </c>
      <c r="B2" s="5">
        <v>91</v>
      </c>
      <c r="C2" s="5" t="s">
        <v>19</v>
      </c>
      <c r="D2" s="5">
        <v>52</v>
      </c>
      <c r="E2" s="6">
        <v>44570</v>
      </c>
      <c r="F2" s="5">
        <v>53</v>
      </c>
      <c r="G2" s="5">
        <v>54.88</v>
      </c>
      <c r="H2" s="5">
        <v>77</v>
      </c>
      <c r="I2" s="5">
        <v>4.3</v>
      </c>
      <c r="J2" s="5">
        <v>61.5</v>
      </c>
      <c r="K2" s="5">
        <v>69</v>
      </c>
      <c r="L2" s="5">
        <v>17.100000000000001</v>
      </c>
      <c r="M2" s="5" t="s">
        <v>20</v>
      </c>
      <c r="N2" s="5">
        <v>6.2</v>
      </c>
      <c r="O2" s="5" t="s">
        <v>21</v>
      </c>
      <c r="P2" s="5">
        <v>17.399999999999999</v>
      </c>
      <c r="Q2" s="5" t="s">
        <v>22</v>
      </c>
      <c r="R2" s="5">
        <v>22.2</v>
      </c>
      <c r="S2" s="5">
        <f>YEAR(Table1[[#This Row],[Visitor Date]])</f>
        <v>2022</v>
      </c>
      <c r="T2" s="7" t="str">
        <f>TEXT(Table1[[#This Row],[Visitor Date]],"mmm")</f>
        <v>Jan</v>
      </c>
    </row>
    <row r="3" spans="1:20" x14ac:dyDescent="0.3">
      <c r="A3" s="4" t="s">
        <v>18</v>
      </c>
      <c r="B3" s="5">
        <v>91</v>
      </c>
      <c r="C3" s="5" t="s">
        <v>23</v>
      </c>
      <c r="D3" s="5">
        <v>125</v>
      </c>
      <c r="E3" s="6">
        <v>44571</v>
      </c>
      <c r="F3" s="5">
        <v>30</v>
      </c>
      <c r="G3" s="5">
        <v>56.3</v>
      </c>
      <c r="H3" s="5">
        <v>73</v>
      </c>
      <c r="I3" s="5">
        <v>3.7</v>
      </c>
      <c r="J3" s="5">
        <v>59.2</v>
      </c>
      <c r="K3" s="5">
        <v>56</v>
      </c>
      <c r="L3" s="5">
        <v>16</v>
      </c>
      <c r="M3" s="5" t="s">
        <v>20</v>
      </c>
      <c r="N3" s="5">
        <v>6</v>
      </c>
      <c r="O3" s="5" t="s">
        <v>21</v>
      </c>
      <c r="P3" s="5">
        <v>16.8</v>
      </c>
      <c r="Q3" s="5" t="s">
        <v>22</v>
      </c>
      <c r="R3" s="5">
        <v>21.5</v>
      </c>
      <c r="S3" s="5">
        <f>YEAR(Table1[[#This Row],[Visitor Date]])</f>
        <v>2022</v>
      </c>
      <c r="T3" s="7" t="str">
        <f>TEXT(Table1[[#This Row],[Visitor Date]],"mmm")</f>
        <v>Jan</v>
      </c>
    </row>
    <row r="4" spans="1:20" x14ac:dyDescent="0.3">
      <c r="A4" s="4" t="s">
        <v>24</v>
      </c>
      <c r="B4" s="5">
        <v>44</v>
      </c>
      <c r="C4" s="5" t="s">
        <v>19</v>
      </c>
      <c r="D4" s="5">
        <v>45</v>
      </c>
      <c r="E4" s="6">
        <v>44572</v>
      </c>
      <c r="F4" s="5">
        <v>50</v>
      </c>
      <c r="G4" s="5">
        <v>91.47</v>
      </c>
      <c r="H4" s="5">
        <v>49</v>
      </c>
      <c r="I4" s="5">
        <v>2.9</v>
      </c>
      <c r="J4" s="5">
        <v>47.8</v>
      </c>
      <c r="K4" s="5">
        <v>33</v>
      </c>
      <c r="L4" s="5">
        <v>18</v>
      </c>
      <c r="M4" s="5" t="s">
        <v>24</v>
      </c>
      <c r="N4" s="5">
        <v>27.5</v>
      </c>
      <c r="O4" s="5" t="s">
        <v>21</v>
      </c>
      <c r="P4" s="5">
        <v>8.1</v>
      </c>
      <c r="Q4" s="5" t="s">
        <v>25</v>
      </c>
      <c r="R4" s="5">
        <v>6.9</v>
      </c>
      <c r="S4" s="5">
        <f>YEAR(Table1[[#This Row],[Visitor Date]])</f>
        <v>2022</v>
      </c>
      <c r="T4" s="7" t="str">
        <f>TEXT(Table1[[#This Row],[Visitor Date]],"mmm")</f>
        <v>Jan</v>
      </c>
    </row>
    <row r="5" spans="1:20" x14ac:dyDescent="0.3">
      <c r="A5" s="4" t="s">
        <v>24</v>
      </c>
      <c r="B5" s="5">
        <v>44</v>
      </c>
      <c r="C5" s="5" t="s">
        <v>23</v>
      </c>
      <c r="D5" s="5">
        <v>39</v>
      </c>
      <c r="E5" s="6">
        <v>44573</v>
      </c>
      <c r="F5" s="5">
        <v>42</v>
      </c>
      <c r="G5" s="5">
        <v>85.3</v>
      </c>
      <c r="H5" s="5">
        <v>35</v>
      </c>
      <c r="I5" s="5">
        <v>2.7</v>
      </c>
      <c r="J5" s="5">
        <v>45</v>
      </c>
      <c r="K5" s="5">
        <v>28</v>
      </c>
      <c r="L5" s="5">
        <v>17.5</v>
      </c>
      <c r="M5" s="5" t="s">
        <v>24</v>
      </c>
      <c r="N5" s="5">
        <v>26</v>
      </c>
      <c r="O5" s="5" t="s">
        <v>21</v>
      </c>
      <c r="P5" s="5">
        <v>7.5</v>
      </c>
      <c r="Q5" s="5" t="s">
        <v>25</v>
      </c>
      <c r="R5" s="5">
        <v>6.3</v>
      </c>
      <c r="S5" s="5">
        <f>YEAR(Table1[[#This Row],[Visitor Date]])</f>
        <v>2022</v>
      </c>
      <c r="T5" s="7" t="str">
        <f>TEXT(Table1[[#This Row],[Visitor Date]],"mmm")</f>
        <v>Jan</v>
      </c>
    </row>
    <row r="6" spans="1:20" x14ac:dyDescent="0.3">
      <c r="A6" s="4" t="s">
        <v>26</v>
      </c>
      <c r="B6" s="5">
        <v>26</v>
      </c>
      <c r="C6" s="5" t="s">
        <v>19</v>
      </c>
      <c r="D6" s="5">
        <v>30</v>
      </c>
      <c r="E6" s="6">
        <v>44574</v>
      </c>
      <c r="F6" s="5">
        <v>9</v>
      </c>
      <c r="G6" s="5">
        <v>6.04</v>
      </c>
      <c r="H6" s="5">
        <v>78</v>
      </c>
      <c r="I6" s="5">
        <v>3.2</v>
      </c>
      <c r="J6" s="5">
        <v>48.7</v>
      </c>
      <c r="K6" s="5">
        <v>35</v>
      </c>
      <c r="L6" s="5">
        <v>5.8</v>
      </c>
      <c r="M6" s="5" t="s">
        <v>27</v>
      </c>
      <c r="N6" s="5">
        <v>23.6</v>
      </c>
      <c r="O6" s="5" t="s">
        <v>21</v>
      </c>
      <c r="P6" s="5">
        <v>18.399999999999999</v>
      </c>
      <c r="Q6" s="5" t="s">
        <v>22</v>
      </c>
      <c r="R6" s="5">
        <v>11.6</v>
      </c>
      <c r="S6" s="5">
        <f>YEAR(Table1[[#This Row],[Visitor Date]])</f>
        <v>2022</v>
      </c>
      <c r="T6" s="7" t="str">
        <f>TEXT(Table1[[#This Row],[Visitor Date]],"mmm")</f>
        <v>Jan</v>
      </c>
    </row>
    <row r="7" spans="1:20" x14ac:dyDescent="0.3">
      <c r="A7" s="4" t="s">
        <v>26</v>
      </c>
      <c r="B7" s="5">
        <v>26</v>
      </c>
      <c r="C7" s="5" t="s">
        <v>23</v>
      </c>
      <c r="D7" s="5">
        <v>35</v>
      </c>
      <c r="E7" s="6">
        <v>44575</v>
      </c>
      <c r="F7" s="5">
        <v>14</v>
      </c>
      <c r="G7" s="5">
        <v>7.5</v>
      </c>
      <c r="H7" s="5">
        <v>75</v>
      </c>
      <c r="I7" s="5">
        <v>3.1</v>
      </c>
      <c r="J7" s="5">
        <v>46.2</v>
      </c>
      <c r="K7" s="5">
        <v>29</v>
      </c>
      <c r="L7" s="5">
        <v>5.5</v>
      </c>
      <c r="M7" s="5" t="s">
        <v>27</v>
      </c>
      <c r="N7" s="5">
        <v>22</v>
      </c>
      <c r="O7" s="5" t="s">
        <v>21</v>
      </c>
      <c r="P7" s="5">
        <v>16.7</v>
      </c>
      <c r="Q7" s="5" t="s">
        <v>22</v>
      </c>
      <c r="R7" s="5">
        <v>10.8</v>
      </c>
      <c r="S7" s="5">
        <f>YEAR(Table1[[#This Row],[Visitor Date]])</f>
        <v>2022</v>
      </c>
      <c r="T7" s="7" t="str">
        <f>TEXT(Table1[[#This Row],[Visitor Date]],"mmm")</f>
        <v>Jan</v>
      </c>
    </row>
    <row r="8" spans="1:20" x14ac:dyDescent="0.3">
      <c r="A8" s="4" t="s">
        <v>28</v>
      </c>
      <c r="B8" s="5">
        <v>68</v>
      </c>
      <c r="C8" s="5" t="s">
        <v>19</v>
      </c>
      <c r="D8" s="5">
        <v>155</v>
      </c>
      <c r="E8" s="6">
        <v>44576</v>
      </c>
      <c r="F8" s="5">
        <v>15</v>
      </c>
      <c r="G8" s="5">
        <v>90</v>
      </c>
      <c r="H8" s="5">
        <v>54</v>
      </c>
      <c r="I8" s="5">
        <v>3.4</v>
      </c>
      <c r="J8" s="5">
        <v>67.8</v>
      </c>
      <c r="K8" s="5">
        <v>34</v>
      </c>
      <c r="L8" s="5">
        <v>11</v>
      </c>
      <c r="M8" s="5" t="s">
        <v>20</v>
      </c>
      <c r="N8" s="5">
        <v>5.3</v>
      </c>
      <c r="O8" s="5" t="s">
        <v>29</v>
      </c>
      <c r="P8" s="5">
        <v>20.5</v>
      </c>
      <c r="Q8" s="5" t="s">
        <v>25</v>
      </c>
      <c r="R8" s="5">
        <v>19.5</v>
      </c>
      <c r="S8" s="5">
        <f>YEAR(Table1[[#This Row],[Visitor Date]])</f>
        <v>2022</v>
      </c>
      <c r="T8" s="7" t="str">
        <f>TEXT(Table1[[#This Row],[Visitor Date]],"mmm")</f>
        <v>Jan</v>
      </c>
    </row>
    <row r="9" spans="1:20" x14ac:dyDescent="0.3">
      <c r="A9" s="4" t="s">
        <v>28</v>
      </c>
      <c r="B9" s="5">
        <v>68</v>
      </c>
      <c r="C9" s="5" t="s">
        <v>23</v>
      </c>
      <c r="D9" s="5">
        <v>28</v>
      </c>
      <c r="E9" s="6">
        <v>44577</v>
      </c>
      <c r="F9" s="5">
        <v>10</v>
      </c>
      <c r="G9" s="5">
        <v>88</v>
      </c>
      <c r="H9" s="5">
        <v>50</v>
      </c>
      <c r="I9" s="5">
        <v>3</v>
      </c>
      <c r="J9" s="5">
        <v>4</v>
      </c>
      <c r="K9" s="5">
        <v>28</v>
      </c>
      <c r="L9" s="5">
        <v>10.199999999999999</v>
      </c>
      <c r="M9" s="5" t="s">
        <v>20</v>
      </c>
      <c r="N9" s="5">
        <v>4.8</v>
      </c>
      <c r="O9" s="5" t="s">
        <v>29</v>
      </c>
      <c r="P9" s="5">
        <v>19.7</v>
      </c>
      <c r="Q9" s="5" t="s">
        <v>25</v>
      </c>
      <c r="R9" s="5">
        <v>18</v>
      </c>
      <c r="S9" s="5">
        <f>YEAR(Table1[[#This Row],[Visitor Date]])</f>
        <v>2022</v>
      </c>
      <c r="T9" s="7" t="str">
        <f>TEXT(Table1[[#This Row],[Visitor Date]],"mmm")</f>
        <v>Jan</v>
      </c>
    </row>
    <row r="10" spans="1:20" x14ac:dyDescent="0.3">
      <c r="A10" s="4" t="s">
        <v>30</v>
      </c>
      <c r="B10" s="5">
        <v>14</v>
      </c>
      <c r="C10" s="5" t="s">
        <v>19</v>
      </c>
      <c r="D10" s="5">
        <v>114</v>
      </c>
      <c r="E10" s="6">
        <v>44578</v>
      </c>
      <c r="F10" s="5">
        <v>17</v>
      </c>
      <c r="G10" s="5">
        <v>70.63</v>
      </c>
      <c r="H10" s="5">
        <v>41</v>
      </c>
      <c r="I10" s="5">
        <v>3.9</v>
      </c>
      <c r="J10" s="5">
        <v>59.4</v>
      </c>
      <c r="K10" s="5">
        <v>95</v>
      </c>
      <c r="L10" s="5">
        <v>15.6</v>
      </c>
      <c r="M10" s="5" t="s">
        <v>27</v>
      </c>
      <c r="N10" s="5">
        <v>23.7</v>
      </c>
      <c r="O10" s="5" t="s">
        <v>31</v>
      </c>
      <c r="P10" s="5">
        <v>15.6</v>
      </c>
      <c r="Q10" s="5" t="s">
        <v>25</v>
      </c>
      <c r="R10" s="5">
        <v>15.1</v>
      </c>
      <c r="S10" s="5">
        <f>YEAR(Table1[[#This Row],[Visitor Date]])</f>
        <v>2022</v>
      </c>
      <c r="T10" s="7" t="str">
        <f>TEXT(Table1[[#This Row],[Visitor Date]],"mmm")</f>
        <v>Jan</v>
      </c>
    </row>
    <row r="11" spans="1:20" x14ac:dyDescent="0.3">
      <c r="A11" s="4" t="s">
        <v>30</v>
      </c>
      <c r="B11" s="5">
        <v>14</v>
      </c>
      <c r="C11" s="5" t="s">
        <v>23</v>
      </c>
      <c r="D11" s="5">
        <v>11</v>
      </c>
      <c r="E11" s="6">
        <v>44579</v>
      </c>
      <c r="F11" s="5">
        <v>8</v>
      </c>
      <c r="G11" s="5">
        <v>65</v>
      </c>
      <c r="H11" s="5">
        <v>25</v>
      </c>
      <c r="I11" s="5">
        <v>3.6</v>
      </c>
      <c r="J11" s="5">
        <v>55</v>
      </c>
      <c r="K11" s="5">
        <v>65</v>
      </c>
      <c r="L11" s="5">
        <v>14</v>
      </c>
      <c r="M11" s="5" t="s">
        <v>27</v>
      </c>
      <c r="N11" s="5">
        <v>21.5</v>
      </c>
      <c r="O11" s="5" t="s">
        <v>31</v>
      </c>
      <c r="P11" s="5">
        <v>13.9</v>
      </c>
      <c r="Q11" s="5" t="s">
        <v>25</v>
      </c>
      <c r="R11" s="5">
        <v>14.2</v>
      </c>
      <c r="S11" s="5">
        <f>YEAR(Table1[[#This Row],[Visitor Date]])</f>
        <v>2022</v>
      </c>
      <c r="T11" s="7" t="str">
        <f>TEXT(Table1[[#This Row],[Visitor Date]],"mmm")</f>
        <v>Jan</v>
      </c>
    </row>
    <row r="12" spans="1:20" x14ac:dyDescent="0.3">
      <c r="A12" s="4" t="s">
        <v>32</v>
      </c>
      <c r="B12" s="5">
        <v>33</v>
      </c>
      <c r="C12" s="5" t="s">
        <v>19</v>
      </c>
      <c r="D12" s="5">
        <v>30</v>
      </c>
      <c r="E12" s="6">
        <v>44580</v>
      </c>
      <c r="F12" s="5">
        <v>18</v>
      </c>
      <c r="G12" s="5">
        <v>65.34</v>
      </c>
      <c r="H12" s="5">
        <v>15</v>
      </c>
      <c r="I12" s="5">
        <v>4.0999999999999996</v>
      </c>
      <c r="J12" s="5">
        <v>52.3</v>
      </c>
      <c r="K12" s="5">
        <v>94</v>
      </c>
      <c r="L12" s="5">
        <v>16.2</v>
      </c>
      <c r="M12" s="5" t="s">
        <v>24</v>
      </c>
      <c r="N12" s="5">
        <v>18.899999999999999</v>
      </c>
      <c r="O12" s="5" t="s">
        <v>33</v>
      </c>
      <c r="P12" s="5">
        <v>13.8</v>
      </c>
      <c r="Q12" s="5" t="s">
        <v>34</v>
      </c>
      <c r="R12" s="5">
        <v>10.7</v>
      </c>
      <c r="S12" s="5">
        <f>YEAR(Table1[[#This Row],[Visitor Date]])</f>
        <v>2022</v>
      </c>
      <c r="T12" s="7" t="str">
        <f>TEXT(Table1[[#This Row],[Visitor Date]],"mmm")</f>
        <v>Jan</v>
      </c>
    </row>
    <row r="13" spans="1:20" x14ac:dyDescent="0.3">
      <c r="A13" s="4" t="s">
        <v>32</v>
      </c>
      <c r="B13" s="5">
        <v>33</v>
      </c>
      <c r="C13" s="5" t="s">
        <v>23</v>
      </c>
      <c r="D13" s="5">
        <v>26</v>
      </c>
      <c r="E13" s="6">
        <v>44581</v>
      </c>
      <c r="F13" s="5">
        <v>13</v>
      </c>
      <c r="G13" s="5">
        <v>60.2</v>
      </c>
      <c r="H13" s="5">
        <v>16</v>
      </c>
      <c r="I13" s="5">
        <v>3.8</v>
      </c>
      <c r="J13" s="5">
        <v>50.5</v>
      </c>
      <c r="K13" s="5">
        <v>75</v>
      </c>
      <c r="L13" s="5">
        <v>15</v>
      </c>
      <c r="M13" s="5" t="s">
        <v>24</v>
      </c>
      <c r="N13" s="5">
        <v>17.8</v>
      </c>
      <c r="O13" s="5" t="s">
        <v>33</v>
      </c>
      <c r="P13" s="5">
        <v>12</v>
      </c>
      <c r="Q13" s="5" t="s">
        <v>34</v>
      </c>
      <c r="R13" s="5">
        <v>9.5</v>
      </c>
      <c r="S13" s="5">
        <f>YEAR(Table1[[#This Row],[Visitor Date]])</f>
        <v>2022</v>
      </c>
      <c r="T13" s="7" t="str">
        <f>TEXT(Table1[[#This Row],[Visitor Date]],"mmm")</f>
        <v>Jan</v>
      </c>
    </row>
    <row r="14" spans="1:20" x14ac:dyDescent="0.3">
      <c r="A14" s="4" t="s">
        <v>18</v>
      </c>
      <c r="B14" s="5">
        <v>91</v>
      </c>
      <c r="C14" s="5" t="s">
        <v>19</v>
      </c>
      <c r="D14" s="5">
        <v>45</v>
      </c>
      <c r="E14" s="6">
        <v>44582</v>
      </c>
      <c r="F14" s="5">
        <v>50</v>
      </c>
      <c r="G14" s="5">
        <v>54.88</v>
      </c>
      <c r="H14" s="5">
        <v>77</v>
      </c>
      <c r="I14" s="5">
        <v>4.2</v>
      </c>
      <c r="J14" s="5">
        <v>61.5</v>
      </c>
      <c r="K14" s="5">
        <v>68</v>
      </c>
      <c r="L14" s="5">
        <v>17.100000000000001</v>
      </c>
      <c r="M14" s="5" t="s">
        <v>20</v>
      </c>
      <c r="N14" s="5">
        <v>6.2</v>
      </c>
      <c r="O14" s="5" t="s">
        <v>21</v>
      </c>
      <c r="P14" s="5">
        <v>17.399999999999999</v>
      </c>
      <c r="Q14" s="5" t="s">
        <v>22</v>
      </c>
      <c r="R14" s="5">
        <v>22.2</v>
      </c>
      <c r="S14" s="5">
        <f>YEAR(Table1[[#This Row],[Visitor Date]])</f>
        <v>2022</v>
      </c>
      <c r="T14" s="7" t="str">
        <f>TEXT(Table1[[#This Row],[Visitor Date]],"mmm")</f>
        <v>Jan</v>
      </c>
    </row>
    <row r="15" spans="1:20" x14ac:dyDescent="0.3">
      <c r="A15" s="4" t="s">
        <v>18</v>
      </c>
      <c r="B15" s="5">
        <v>91</v>
      </c>
      <c r="C15" s="5" t="s">
        <v>23</v>
      </c>
      <c r="D15" s="5">
        <v>28</v>
      </c>
      <c r="E15" s="6">
        <v>44583</v>
      </c>
      <c r="F15" s="5">
        <v>33</v>
      </c>
      <c r="G15" s="5">
        <v>56.3</v>
      </c>
      <c r="H15" s="5">
        <v>73</v>
      </c>
      <c r="I15" s="5">
        <v>3.7</v>
      </c>
      <c r="J15" s="5">
        <v>59.2</v>
      </c>
      <c r="K15" s="5">
        <v>57</v>
      </c>
      <c r="L15" s="5">
        <v>16</v>
      </c>
      <c r="M15" s="5" t="s">
        <v>20</v>
      </c>
      <c r="N15" s="5">
        <v>6</v>
      </c>
      <c r="O15" s="5" t="s">
        <v>21</v>
      </c>
      <c r="P15" s="5">
        <v>16.8</v>
      </c>
      <c r="Q15" s="5" t="s">
        <v>22</v>
      </c>
      <c r="R15" s="5">
        <v>21.5</v>
      </c>
      <c r="S15" s="5">
        <f>YEAR(Table1[[#This Row],[Visitor Date]])</f>
        <v>2022</v>
      </c>
      <c r="T15" s="7" t="str">
        <f>TEXT(Table1[[#This Row],[Visitor Date]],"mmm")</f>
        <v>Jan</v>
      </c>
    </row>
    <row r="16" spans="1:20" x14ac:dyDescent="0.3">
      <c r="A16" s="4" t="s">
        <v>24</v>
      </c>
      <c r="B16" s="5">
        <v>44</v>
      </c>
      <c r="C16" s="5" t="s">
        <v>19</v>
      </c>
      <c r="D16" s="5">
        <v>42</v>
      </c>
      <c r="E16" s="6">
        <v>44584</v>
      </c>
      <c r="F16" s="5">
        <v>46</v>
      </c>
      <c r="G16" s="5">
        <v>91.47</v>
      </c>
      <c r="H16" s="5">
        <v>49</v>
      </c>
      <c r="I16" s="5">
        <v>2.9</v>
      </c>
      <c r="J16" s="5">
        <v>47.8</v>
      </c>
      <c r="K16" s="5">
        <v>31</v>
      </c>
      <c r="L16" s="5">
        <v>18</v>
      </c>
      <c r="M16" s="5" t="s">
        <v>24</v>
      </c>
      <c r="N16" s="5">
        <v>27.5</v>
      </c>
      <c r="O16" s="5" t="s">
        <v>21</v>
      </c>
      <c r="P16" s="5">
        <v>8.1</v>
      </c>
      <c r="Q16" s="5" t="s">
        <v>25</v>
      </c>
      <c r="R16" s="5">
        <v>6.9</v>
      </c>
      <c r="S16" s="5">
        <f>YEAR(Table1[[#This Row],[Visitor Date]])</f>
        <v>2022</v>
      </c>
      <c r="T16" s="7" t="str">
        <f>TEXT(Table1[[#This Row],[Visitor Date]],"mmm")</f>
        <v>Jan</v>
      </c>
    </row>
    <row r="17" spans="1:20" x14ac:dyDescent="0.3">
      <c r="A17" s="4" t="s">
        <v>24</v>
      </c>
      <c r="B17" s="5">
        <v>44</v>
      </c>
      <c r="C17" s="5" t="s">
        <v>23</v>
      </c>
      <c r="D17" s="5">
        <v>38</v>
      </c>
      <c r="E17" s="6">
        <v>44585</v>
      </c>
      <c r="F17" s="5">
        <v>35</v>
      </c>
      <c r="G17" s="5">
        <v>85.3</v>
      </c>
      <c r="H17" s="5">
        <v>35</v>
      </c>
      <c r="I17" s="5">
        <v>2.5</v>
      </c>
      <c r="J17" s="5">
        <v>45</v>
      </c>
      <c r="K17" s="5">
        <v>27</v>
      </c>
      <c r="L17" s="5">
        <v>17.5</v>
      </c>
      <c r="M17" s="5" t="s">
        <v>24</v>
      </c>
      <c r="N17" s="5">
        <v>26</v>
      </c>
      <c r="O17" s="5" t="s">
        <v>21</v>
      </c>
      <c r="P17" s="5">
        <v>7.5</v>
      </c>
      <c r="Q17" s="5" t="s">
        <v>25</v>
      </c>
      <c r="R17" s="5">
        <v>6.3</v>
      </c>
      <c r="S17" s="5">
        <f>YEAR(Table1[[#This Row],[Visitor Date]])</f>
        <v>2022</v>
      </c>
      <c r="T17" s="7" t="str">
        <f>TEXT(Table1[[#This Row],[Visitor Date]],"mmm")</f>
        <v>Jan</v>
      </c>
    </row>
    <row r="18" spans="1:20" x14ac:dyDescent="0.3">
      <c r="A18" s="4" t="s">
        <v>26</v>
      </c>
      <c r="B18" s="5">
        <v>26</v>
      </c>
      <c r="C18" s="5" t="s">
        <v>19</v>
      </c>
      <c r="D18" s="5">
        <v>35</v>
      </c>
      <c r="E18" s="6">
        <v>44586</v>
      </c>
      <c r="F18" s="5">
        <v>9</v>
      </c>
      <c r="G18" s="5">
        <v>6.04</v>
      </c>
      <c r="H18" s="5">
        <v>78</v>
      </c>
      <c r="I18" s="5">
        <v>3.4</v>
      </c>
      <c r="J18" s="5">
        <v>48.7</v>
      </c>
      <c r="K18" s="5">
        <v>36</v>
      </c>
      <c r="L18" s="5">
        <v>5.8</v>
      </c>
      <c r="M18" s="5" t="s">
        <v>27</v>
      </c>
      <c r="N18" s="5">
        <v>23.6</v>
      </c>
      <c r="O18" s="5" t="s">
        <v>21</v>
      </c>
      <c r="P18" s="5">
        <v>18.399999999999999</v>
      </c>
      <c r="Q18" s="5" t="s">
        <v>22</v>
      </c>
      <c r="R18" s="5">
        <v>11.6</v>
      </c>
      <c r="S18" s="5">
        <f>YEAR(Table1[[#This Row],[Visitor Date]])</f>
        <v>2022</v>
      </c>
      <c r="T18" s="7" t="str">
        <f>TEXT(Table1[[#This Row],[Visitor Date]],"mmm")</f>
        <v>Jan</v>
      </c>
    </row>
    <row r="19" spans="1:20" x14ac:dyDescent="0.3">
      <c r="A19" s="4" t="s">
        <v>26</v>
      </c>
      <c r="B19" s="5">
        <v>26</v>
      </c>
      <c r="C19" s="5" t="s">
        <v>23</v>
      </c>
      <c r="D19" s="5">
        <v>32</v>
      </c>
      <c r="E19" s="6">
        <v>44587</v>
      </c>
      <c r="F19" s="5">
        <v>12</v>
      </c>
      <c r="G19" s="5">
        <v>7.5</v>
      </c>
      <c r="H19" s="5">
        <v>75</v>
      </c>
      <c r="I19" s="5">
        <v>3</v>
      </c>
      <c r="J19" s="5">
        <v>46.2</v>
      </c>
      <c r="K19" s="5">
        <v>29</v>
      </c>
      <c r="L19" s="5">
        <v>5.5</v>
      </c>
      <c r="M19" s="5" t="s">
        <v>27</v>
      </c>
      <c r="N19" s="5">
        <v>22</v>
      </c>
      <c r="O19" s="5" t="s">
        <v>21</v>
      </c>
      <c r="P19" s="5">
        <v>16.7</v>
      </c>
      <c r="Q19" s="5" t="s">
        <v>22</v>
      </c>
      <c r="R19" s="5">
        <v>10.8</v>
      </c>
      <c r="S19" s="5">
        <f>YEAR(Table1[[#This Row],[Visitor Date]])</f>
        <v>2022</v>
      </c>
      <c r="T19" s="7" t="str">
        <f>TEXT(Table1[[#This Row],[Visitor Date]],"mmm")</f>
        <v>Jan</v>
      </c>
    </row>
    <row r="20" spans="1:20" x14ac:dyDescent="0.3">
      <c r="A20" s="4" t="s">
        <v>28</v>
      </c>
      <c r="B20" s="5">
        <v>68</v>
      </c>
      <c r="C20" s="5" t="s">
        <v>19</v>
      </c>
      <c r="D20" s="5">
        <v>150</v>
      </c>
      <c r="E20" s="6">
        <v>44588</v>
      </c>
      <c r="F20" s="5">
        <v>13</v>
      </c>
      <c r="G20" s="5">
        <v>90</v>
      </c>
      <c r="H20" s="5">
        <v>54</v>
      </c>
      <c r="I20" s="5">
        <v>3.5</v>
      </c>
      <c r="J20" s="5">
        <v>67.8</v>
      </c>
      <c r="K20" s="5">
        <v>33</v>
      </c>
      <c r="L20" s="5">
        <v>11</v>
      </c>
      <c r="M20" s="5" t="s">
        <v>20</v>
      </c>
      <c r="N20" s="5">
        <v>5.3</v>
      </c>
      <c r="O20" s="5" t="s">
        <v>29</v>
      </c>
      <c r="P20" s="5">
        <v>20.5</v>
      </c>
      <c r="Q20" s="5" t="s">
        <v>25</v>
      </c>
      <c r="R20" s="5">
        <v>19.5</v>
      </c>
      <c r="S20" s="5">
        <f>YEAR(Table1[[#This Row],[Visitor Date]])</f>
        <v>2022</v>
      </c>
      <c r="T20" s="7" t="str">
        <f>TEXT(Table1[[#This Row],[Visitor Date]],"mmm")</f>
        <v>Jan</v>
      </c>
    </row>
    <row r="21" spans="1:20" x14ac:dyDescent="0.3">
      <c r="A21" s="4" t="s">
        <v>28</v>
      </c>
      <c r="B21" s="5">
        <v>68</v>
      </c>
      <c r="C21" s="5" t="s">
        <v>23</v>
      </c>
      <c r="D21" s="5">
        <v>30</v>
      </c>
      <c r="E21" s="6">
        <v>44589</v>
      </c>
      <c r="F21" s="5">
        <v>11</v>
      </c>
      <c r="G21" s="5">
        <v>88</v>
      </c>
      <c r="H21" s="5">
        <v>50</v>
      </c>
      <c r="I21" s="5">
        <v>3.2</v>
      </c>
      <c r="J21" s="5">
        <v>64</v>
      </c>
      <c r="K21" s="5">
        <v>28</v>
      </c>
      <c r="L21" s="5">
        <v>10.199999999999999</v>
      </c>
      <c r="M21" s="5" t="s">
        <v>20</v>
      </c>
      <c r="N21" s="5">
        <v>4.8</v>
      </c>
      <c r="O21" s="5" t="s">
        <v>29</v>
      </c>
      <c r="P21" s="5">
        <v>19.7</v>
      </c>
      <c r="Q21" s="5" t="s">
        <v>25</v>
      </c>
      <c r="R21" s="5">
        <v>18</v>
      </c>
      <c r="S21" s="5">
        <f>YEAR(Table1[[#This Row],[Visitor Date]])</f>
        <v>2022</v>
      </c>
      <c r="T21" s="7" t="str">
        <f>TEXT(Table1[[#This Row],[Visitor Date]],"mmm")</f>
        <v>Jan</v>
      </c>
    </row>
    <row r="22" spans="1:20" x14ac:dyDescent="0.3">
      <c r="A22" s="4" t="s">
        <v>30</v>
      </c>
      <c r="B22" s="5">
        <v>14</v>
      </c>
      <c r="C22" s="5" t="s">
        <v>19</v>
      </c>
      <c r="D22" s="5">
        <v>12</v>
      </c>
      <c r="E22" s="6">
        <v>44590</v>
      </c>
      <c r="F22" s="5">
        <v>15</v>
      </c>
      <c r="G22" s="5">
        <v>70.63</v>
      </c>
      <c r="H22" s="5">
        <v>41</v>
      </c>
      <c r="I22" s="5">
        <v>3.9</v>
      </c>
      <c r="J22" s="5">
        <v>59.4</v>
      </c>
      <c r="K22" s="5">
        <v>90</v>
      </c>
      <c r="L22" s="5">
        <v>15.6</v>
      </c>
      <c r="M22" s="5" t="s">
        <v>27</v>
      </c>
      <c r="N22" s="5">
        <v>23.7</v>
      </c>
      <c r="O22" s="5" t="s">
        <v>31</v>
      </c>
      <c r="P22" s="5">
        <v>15.6</v>
      </c>
      <c r="Q22" s="5" t="s">
        <v>25</v>
      </c>
      <c r="R22" s="5">
        <v>15.1</v>
      </c>
      <c r="S22" s="5">
        <f>YEAR(Table1[[#This Row],[Visitor Date]])</f>
        <v>2022</v>
      </c>
      <c r="T22" s="7" t="str">
        <f>TEXT(Table1[[#This Row],[Visitor Date]],"mmm")</f>
        <v>Jan</v>
      </c>
    </row>
    <row r="23" spans="1:20" x14ac:dyDescent="0.3">
      <c r="A23" s="4" t="s">
        <v>30</v>
      </c>
      <c r="B23" s="5">
        <v>14</v>
      </c>
      <c r="C23" s="5" t="s">
        <v>23</v>
      </c>
      <c r="D23" s="5">
        <v>39</v>
      </c>
      <c r="E23" s="6">
        <v>44591</v>
      </c>
      <c r="F23" s="5">
        <v>9</v>
      </c>
      <c r="G23" s="5">
        <v>65</v>
      </c>
      <c r="H23" s="5">
        <v>25</v>
      </c>
      <c r="I23" s="5">
        <v>3.5</v>
      </c>
      <c r="J23" s="5">
        <v>55</v>
      </c>
      <c r="K23" s="5">
        <v>64</v>
      </c>
      <c r="L23" s="5">
        <v>14</v>
      </c>
      <c r="M23" s="5" t="s">
        <v>27</v>
      </c>
      <c r="N23" s="5">
        <v>21.5</v>
      </c>
      <c r="O23" s="5" t="s">
        <v>31</v>
      </c>
      <c r="P23" s="5">
        <v>13.9</v>
      </c>
      <c r="Q23" s="5" t="s">
        <v>25</v>
      </c>
      <c r="R23" s="5">
        <v>14.2</v>
      </c>
      <c r="S23" s="5">
        <f>YEAR(Table1[[#This Row],[Visitor Date]])</f>
        <v>2022</v>
      </c>
      <c r="T23" s="7" t="str">
        <f>TEXT(Table1[[#This Row],[Visitor Date]],"mmm")</f>
        <v>Jan</v>
      </c>
    </row>
    <row r="24" spans="1:20" x14ac:dyDescent="0.3">
      <c r="A24" s="4" t="s">
        <v>32</v>
      </c>
      <c r="B24" s="5">
        <v>33</v>
      </c>
      <c r="C24" s="5" t="s">
        <v>19</v>
      </c>
      <c r="D24" s="5">
        <v>134</v>
      </c>
      <c r="E24" s="6">
        <v>44592</v>
      </c>
      <c r="F24" s="5">
        <v>17</v>
      </c>
      <c r="G24" s="5">
        <v>65.34</v>
      </c>
      <c r="H24" s="5">
        <v>26</v>
      </c>
      <c r="I24" s="5">
        <v>4.0999999999999996</v>
      </c>
      <c r="J24" s="5">
        <v>52.3</v>
      </c>
      <c r="K24" s="5">
        <v>93</v>
      </c>
      <c r="L24" s="5">
        <v>16.2</v>
      </c>
      <c r="M24" s="5" t="s">
        <v>24</v>
      </c>
      <c r="N24" s="5">
        <v>18.899999999999999</v>
      </c>
      <c r="O24" s="5" t="s">
        <v>33</v>
      </c>
      <c r="P24" s="5">
        <v>13.8</v>
      </c>
      <c r="Q24" s="5" t="s">
        <v>34</v>
      </c>
      <c r="R24" s="5">
        <v>10.7</v>
      </c>
      <c r="S24" s="5">
        <f>YEAR(Table1[[#This Row],[Visitor Date]])</f>
        <v>2022</v>
      </c>
      <c r="T24" s="7" t="str">
        <f>TEXT(Table1[[#This Row],[Visitor Date]],"mmm")</f>
        <v>Jan</v>
      </c>
    </row>
    <row r="25" spans="1:20" x14ac:dyDescent="0.3">
      <c r="A25" s="4" t="s">
        <v>32</v>
      </c>
      <c r="B25" s="5">
        <v>33</v>
      </c>
      <c r="C25" s="5" t="s">
        <v>23</v>
      </c>
      <c r="D25" s="5">
        <v>27</v>
      </c>
      <c r="E25" s="6">
        <v>44593</v>
      </c>
      <c r="F25" s="5">
        <v>13</v>
      </c>
      <c r="G25" s="5">
        <v>60.2</v>
      </c>
      <c r="H25" s="5">
        <v>27</v>
      </c>
      <c r="I25" s="5">
        <v>3.6</v>
      </c>
      <c r="J25" s="5">
        <v>50.5</v>
      </c>
      <c r="K25" s="5">
        <v>76</v>
      </c>
      <c r="L25" s="5">
        <v>15</v>
      </c>
      <c r="M25" s="5" t="s">
        <v>24</v>
      </c>
      <c r="N25" s="5">
        <v>17.8</v>
      </c>
      <c r="O25" s="5" t="s">
        <v>33</v>
      </c>
      <c r="P25" s="5">
        <v>12</v>
      </c>
      <c r="Q25" s="5" t="s">
        <v>34</v>
      </c>
      <c r="R25" s="5">
        <v>9.5</v>
      </c>
      <c r="S25" s="5">
        <f>YEAR(Table1[[#This Row],[Visitor Date]])</f>
        <v>2022</v>
      </c>
      <c r="T25" s="7" t="str">
        <f>TEXT(Table1[[#This Row],[Visitor Date]],"mmm")</f>
        <v>Feb</v>
      </c>
    </row>
    <row r="26" spans="1:20" x14ac:dyDescent="0.3">
      <c r="A26" s="4" t="s">
        <v>18</v>
      </c>
      <c r="B26" s="5">
        <v>91</v>
      </c>
      <c r="C26" s="5" t="s">
        <v>19</v>
      </c>
      <c r="D26" s="5">
        <v>25</v>
      </c>
      <c r="E26" s="6">
        <v>44594</v>
      </c>
      <c r="F26" s="5">
        <v>47</v>
      </c>
      <c r="G26" s="5">
        <v>54.88</v>
      </c>
      <c r="H26" s="5">
        <v>77</v>
      </c>
      <c r="I26" s="5">
        <v>4.4000000000000004</v>
      </c>
      <c r="J26" s="5">
        <v>61.5</v>
      </c>
      <c r="K26" s="5">
        <v>66</v>
      </c>
      <c r="L26" s="5">
        <v>17.100000000000001</v>
      </c>
      <c r="M26" s="5" t="s">
        <v>20</v>
      </c>
      <c r="N26" s="5">
        <v>6.2</v>
      </c>
      <c r="O26" s="5" t="s">
        <v>21</v>
      </c>
      <c r="P26" s="5">
        <v>17.399999999999999</v>
      </c>
      <c r="Q26" s="5" t="s">
        <v>22</v>
      </c>
      <c r="R26" s="5">
        <v>22.2</v>
      </c>
      <c r="S26" s="5">
        <f>YEAR(Table1[[#This Row],[Visitor Date]])</f>
        <v>2022</v>
      </c>
      <c r="T26" s="7" t="str">
        <f>TEXT(Table1[[#This Row],[Visitor Date]],"mmm")</f>
        <v>Feb</v>
      </c>
    </row>
    <row r="27" spans="1:20" x14ac:dyDescent="0.3">
      <c r="A27" s="4" t="s">
        <v>18</v>
      </c>
      <c r="B27" s="5">
        <v>91</v>
      </c>
      <c r="C27" s="5" t="s">
        <v>23</v>
      </c>
      <c r="D27" s="5">
        <v>300</v>
      </c>
      <c r="E27" s="6">
        <v>44595</v>
      </c>
      <c r="F27" s="5">
        <v>35</v>
      </c>
      <c r="G27" s="5">
        <v>56.3</v>
      </c>
      <c r="H27" s="5">
        <v>73</v>
      </c>
      <c r="I27" s="5">
        <v>3.9</v>
      </c>
      <c r="J27" s="5">
        <v>59.2</v>
      </c>
      <c r="K27" s="5">
        <v>56</v>
      </c>
      <c r="L27" s="5">
        <v>16</v>
      </c>
      <c r="M27" s="5" t="s">
        <v>20</v>
      </c>
      <c r="N27" s="5">
        <v>6</v>
      </c>
      <c r="O27" s="5" t="s">
        <v>21</v>
      </c>
      <c r="P27" s="5">
        <v>16.8</v>
      </c>
      <c r="Q27" s="5" t="s">
        <v>22</v>
      </c>
      <c r="R27" s="5">
        <v>21.5</v>
      </c>
      <c r="S27" s="5">
        <f>YEAR(Table1[[#This Row],[Visitor Date]])</f>
        <v>2022</v>
      </c>
      <c r="T27" s="7" t="str">
        <f>TEXT(Table1[[#This Row],[Visitor Date]],"mmm")</f>
        <v>Feb</v>
      </c>
    </row>
    <row r="28" spans="1:20" x14ac:dyDescent="0.3">
      <c r="A28" s="4" t="s">
        <v>24</v>
      </c>
      <c r="B28" s="5">
        <v>44</v>
      </c>
      <c r="C28" s="5" t="s">
        <v>19</v>
      </c>
      <c r="D28" s="5">
        <v>78</v>
      </c>
      <c r="E28" s="6">
        <v>44596</v>
      </c>
      <c r="F28" s="5">
        <v>44</v>
      </c>
      <c r="G28" s="5">
        <v>91.47</v>
      </c>
      <c r="H28" s="5">
        <v>49</v>
      </c>
      <c r="I28" s="5">
        <v>2.7</v>
      </c>
      <c r="J28" s="5">
        <v>47.8</v>
      </c>
      <c r="K28" s="5">
        <v>32</v>
      </c>
      <c r="L28" s="5">
        <v>18</v>
      </c>
      <c r="M28" s="5" t="s">
        <v>24</v>
      </c>
      <c r="N28" s="5">
        <v>27.5</v>
      </c>
      <c r="O28" s="5" t="s">
        <v>21</v>
      </c>
      <c r="P28" s="5">
        <v>8.1</v>
      </c>
      <c r="Q28" s="5" t="s">
        <v>25</v>
      </c>
      <c r="R28" s="5">
        <v>6.9</v>
      </c>
      <c r="S28" s="5">
        <f>YEAR(Table1[[#This Row],[Visitor Date]])</f>
        <v>2022</v>
      </c>
      <c r="T28" s="7" t="str">
        <f>TEXT(Table1[[#This Row],[Visitor Date]],"mmm")</f>
        <v>Feb</v>
      </c>
    </row>
    <row r="29" spans="1:20" x14ac:dyDescent="0.3">
      <c r="A29" s="4" t="s">
        <v>24</v>
      </c>
      <c r="B29" s="5">
        <v>44</v>
      </c>
      <c r="C29" s="5" t="s">
        <v>23</v>
      </c>
      <c r="D29" s="5">
        <v>350</v>
      </c>
      <c r="E29" s="6">
        <v>44597</v>
      </c>
      <c r="F29" s="5">
        <v>32</v>
      </c>
      <c r="G29" s="5">
        <v>85.3</v>
      </c>
      <c r="H29" s="5">
        <v>35</v>
      </c>
      <c r="I29" s="5">
        <v>2.5</v>
      </c>
      <c r="J29" s="5">
        <v>45</v>
      </c>
      <c r="K29" s="5">
        <v>29</v>
      </c>
      <c r="L29" s="5">
        <v>17.5</v>
      </c>
      <c r="M29" s="5" t="s">
        <v>24</v>
      </c>
      <c r="N29" s="5">
        <v>26</v>
      </c>
      <c r="O29" s="5" t="s">
        <v>21</v>
      </c>
      <c r="P29" s="5">
        <v>7.5</v>
      </c>
      <c r="Q29" s="5" t="s">
        <v>25</v>
      </c>
      <c r="R29" s="5">
        <v>6.3</v>
      </c>
      <c r="S29" s="5">
        <f>YEAR(Table1[[#This Row],[Visitor Date]])</f>
        <v>2022</v>
      </c>
      <c r="T29" s="7" t="str">
        <f>TEXT(Table1[[#This Row],[Visitor Date]],"mmm")</f>
        <v>Feb</v>
      </c>
    </row>
    <row r="30" spans="1:20" x14ac:dyDescent="0.3">
      <c r="A30" s="4" t="s">
        <v>26</v>
      </c>
      <c r="B30" s="5">
        <v>26</v>
      </c>
      <c r="C30" s="5" t="s">
        <v>19</v>
      </c>
      <c r="D30" s="5">
        <v>27</v>
      </c>
      <c r="E30" s="6">
        <v>44598</v>
      </c>
      <c r="F30" s="5">
        <v>8</v>
      </c>
      <c r="G30" s="5">
        <v>6.04</v>
      </c>
      <c r="H30" s="5">
        <v>78</v>
      </c>
      <c r="I30" s="5">
        <v>3.2</v>
      </c>
      <c r="J30" s="5">
        <v>48.7</v>
      </c>
      <c r="K30" s="5">
        <v>34</v>
      </c>
      <c r="L30" s="5">
        <v>5.8</v>
      </c>
      <c r="M30" s="5" t="s">
        <v>27</v>
      </c>
      <c r="N30" s="5">
        <v>23.6</v>
      </c>
      <c r="O30" s="5" t="s">
        <v>21</v>
      </c>
      <c r="P30" s="5">
        <v>18.399999999999999</v>
      </c>
      <c r="Q30" s="5" t="s">
        <v>22</v>
      </c>
      <c r="R30" s="5">
        <v>11.6</v>
      </c>
      <c r="S30" s="5">
        <f>YEAR(Table1[[#This Row],[Visitor Date]])</f>
        <v>2022</v>
      </c>
      <c r="T30" s="7" t="str">
        <f>TEXT(Table1[[#This Row],[Visitor Date]],"mmm")</f>
        <v>Feb</v>
      </c>
    </row>
    <row r="31" spans="1:20" x14ac:dyDescent="0.3">
      <c r="A31" s="4" t="s">
        <v>26</v>
      </c>
      <c r="B31" s="5">
        <v>26</v>
      </c>
      <c r="C31" s="5" t="s">
        <v>23</v>
      </c>
      <c r="D31" s="5">
        <v>30</v>
      </c>
      <c r="E31" s="6">
        <v>44599</v>
      </c>
      <c r="F31" s="5">
        <v>10</v>
      </c>
      <c r="G31" s="5">
        <v>7.5</v>
      </c>
      <c r="H31" s="5">
        <v>75</v>
      </c>
      <c r="I31" s="5">
        <v>3</v>
      </c>
      <c r="J31" s="5">
        <v>46.2</v>
      </c>
      <c r="K31" s="5">
        <v>27</v>
      </c>
      <c r="L31" s="5">
        <v>5.5</v>
      </c>
      <c r="M31" s="5" t="s">
        <v>27</v>
      </c>
      <c r="N31" s="5">
        <v>22</v>
      </c>
      <c r="O31" s="5" t="s">
        <v>21</v>
      </c>
      <c r="P31" s="5">
        <v>16.7</v>
      </c>
      <c r="Q31" s="5" t="s">
        <v>22</v>
      </c>
      <c r="R31" s="5">
        <v>10.8</v>
      </c>
      <c r="S31" s="5">
        <f>YEAR(Table1[[#This Row],[Visitor Date]])</f>
        <v>2022</v>
      </c>
      <c r="T31" s="7" t="str">
        <f>TEXT(Table1[[#This Row],[Visitor Date]],"mmm")</f>
        <v>Feb</v>
      </c>
    </row>
    <row r="32" spans="1:20" x14ac:dyDescent="0.3">
      <c r="A32" s="4" t="s">
        <v>28</v>
      </c>
      <c r="B32" s="5">
        <v>68</v>
      </c>
      <c r="C32" s="5" t="s">
        <v>19</v>
      </c>
      <c r="D32" s="5">
        <v>439</v>
      </c>
      <c r="E32" s="6">
        <v>44600</v>
      </c>
      <c r="F32" s="5">
        <v>11</v>
      </c>
      <c r="G32" s="5">
        <v>90</v>
      </c>
      <c r="H32" s="5">
        <v>54</v>
      </c>
      <c r="I32" s="5">
        <v>3.3</v>
      </c>
      <c r="J32" s="5">
        <v>7.8</v>
      </c>
      <c r="K32" s="5">
        <v>33</v>
      </c>
      <c r="L32" s="5">
        <v>11</v>
      </c>
      <c r="M32" s="5" t="s">
        <v>20</v>
      </c>
      <c r="N32" s="5">
        <v>5.3</v>
      </c>
      <c r="O32" s="5" t="s">
        <v>29</v>
      </c>
      <c r="P32" s="5">
        <v>20.5</v>
      </c>
      <c r="Q32" s="5" t="s">
        <v>25</v>
      </c>
      <c r="R32" s="5">
        <v>19.5</v>
      </c>
      <c r="S32" s="5">
        <f>YEAR(Table1[[#This Row],[Visitor Date]])</f>
        <v>2022</v>
      </c>
      <c r="T32" s="7" t="str">
        <f>TEXT(Table1[[#This Row],[Visitor Date]],"mmm")</f>
        <v>Feb</v>
      </c>
    </row>
    <row r="33" spans="1:20" x14ac:dyDescent="0.3">
      <c r="A33" s="4" t="s">
        <v>28</v>
      </c>
      <c r="B33" s="5">
        <v>68</v>
      </c>
      <c r="C33" s="5" t="s">
        <v>23</v>
      </c>
      <c r="D33" s="5">
        <v>350</v>
      </c>
      <c r="E33" s="6">
        <v>44601</v>
      </c>
      <c r="F33" s="5">
        <v>9</v>
      </c>
      <c r="G33" s="5">
        <v>88</v>
      </c>
      <c r="H33" s="5">
        <v>50</v>
      </c>
      <c r="I33" s="5">
        <v>3.1</v>
      </c>
      <c r="J33" s="5">
        <v>64</v>
      </c>
      <c r="K33" s="5">
        <v>29</v>
      </c>
      <c r="L33" s="5">
        <v>10.199999999999999</v>
      </c>
      <c r="M33" s="5" t="s">
        <v>20</v>
      </c>
      <c r="N33" s="5">
        <v>4.8</v>
      </c>
      <c r="O33" s="5" t="s">
        <v>29</v>
      </c>
      <c r="P33" s="5">
        <v>19.7</v>
      </c>
      <c r="Q33" s="5" t="s">
        <v>25</v>
      </c>
      <c r="R33" s="5">
        <v>18</v>
      </c>
      <c r="S33" s="5">
        <f>YEAR(Table1[[#This Row],[Visitor Date]])</f>
        <v>2022</v>
      </c>
      <c r="T33" s="7" t="str">
        <f>TEXT(Table1[[#This Row],[Visitor Date]],"mmm")</f>
        <v>Feb</v>
      </c>
    </row>
    <row r="34" spans="1:20" x14ac:dyDescent="0.3">
      <c r="A34" s="4" t="s">
        <v>30</v>
      </c>
      <c r="B34" s="5">
        <v>14</v>
      </c>
      <c r="C34" s="5" t="s">
        <v>19</v>
      </c>
      <c r="D34" s="5">
        <v>50</v>
      </c>
      <c r="E34" s="6">
        <v>44602</v>
      </c>
      <c r="F34" s="5">
        <v>14</v>
      </c>
      <c r="G34" s="5">
        <v>70.63</v>
      </c>
      <c r="H34" s="5">
        <v>41</v>
      </c>
      <c r="I34" s="5">
        <v>3.9</v>
      </c>
      <c r="J34" s="5">
        <v>59.4</v>
      </c>
      <c r="K34" s="5">
        <v>89</v>
      </c>
      <c r="L34" s="5">
        <v>15.6</v>
      </c>
      <c r="M34" s="5" t="s">
        <v>27</v>
      </c>
      <c r="N34" s="5">
        <v>23.7</v>
      </c>
      <c r="O34" s="5" t="s">
        <v>31</v>
      </c>
      <c r="P34" s="5">
        <v>15.6</v>
      </c>
      <c r="Q34" s="5" t="s">
        <v>25</v>
      </c>
      <c r="R34" s="5">
        <v>15.1</v>
      </c>
      <c r="S34" s="5">
        <f>YEAR(Table1[[#This Row],[Visitor Date]])</f>
        <v>2022</v>
      </c>
      <c r="T34" s="7" t="str">
        <f>TEXT(Table1[[#This Row],[Visitor Date]],"mmm")</f>
        <v>Feb</v>
      </c>
    </row>
    <row r="35" spans="1:20" x14ac:dyDescent="0.3">
      <c r="A35" s="4" t="s">
        <v>30</v>
      </c>
      <c r="B35" s="5">
        <v>14</v>
      </c>
      <c r="C35" s="5" t="s">
        <v>23</v>
      </c>
      <c r="D35" s="5">
        <v>80</v>
      </c>
      <c r="E35" s="6">
        <v>44603</v>
      </c>
      <c r="F35" s="5">
        <v>10</v>
      </c>
      <c r="G35" s="5">
        <v>65</v>
      </c>
      <c r="H35" s="5">
        <v>25</v>
      </c>
      <c r="I35" s="5">
        <v>3.5</v>
      </c>
      <c r="J35" s="5">
        <v>55</v>
      </c>
      <c r="K35" s="5">
        <v>65</v>
      </c>
      <c r="L35" s="5">
        <v>14</v>
      </c>
      <c r="M35" s="5" t="s">
        <v>27</v>
      </c>
      <c r="N35" s="5">
        <v>21.5</v>
      </c>
      <c r="O35" s="5" t="s">
        <v>31</v>
      </c>
      <c r="P35" s="5">
        <v>13.9</v>
      </c>
      <c r="Q35" s="5" t="s">
        <v>25</v>
      </c>
      <c r="R35" s="5">
        <v>14.2</v>
      </c>
      <c r="S35" s="5">
        <f>YEAR(Table1[[#This Row],[Visitor Date]])</f>
        <v>2022</v>
      </c>
      <c r="T35" s="7" t="str">
        <f>TEXT(Table1[[#This Row],[Visitor Date]],"mmm")</f>
        <v>Feb</v>
      </c>
    </row>
    <row r="36" spans="1:20" x14ac:dyDescent="0.3">
      <c r="A36" s="4" t="s">
        <v>32</v>
      </c>
      <c r="B36" s="5">
        <v>33</v>
      </c>
      <c r="C36" s="5" t="s">
        <v>19</v>
      </c>
      <c r="D36" s="5">
        <v>87</v>
      </c>
      <c r="E36" s="6">
        <v>44604</v>
      </c>
      <c r="F36" s="5">
        <v>19</v>
      </c>
      <c r="G36" s="5">
        <v>65.34</v>
      </c>
      <c r="H36" s="5">
        <v>26</v>
      </c>
      <c r="I36" s="5">
        <v>4.0999999999999996</v>
      </c>
      <c r="J36" s="5">
        <v>52.3</v>
      </c>
      <c r="K36" s="5">
        <v>93</v>
      </c>
      <c r="L36" s="5">
        <v>16.2</v>
      </c>
      <c r="M36" s="5" t="s">
        <v>24</v>
      </c>
      <c r="N36" s="5">
        <v>18.899999999999999</v>
      </c>
      <c r="O36" s="5" t="s">
        <v>33</v>
      </c>
      <c r="P36" s="5">
        <v>13.8</v>
      </c>
      <c r="Q36" s="5" t="s">
        <v>34</v>
      </c>
      <c r="R36" s="5">
        <v>10.7</v>
      </c>
      <c r="S36" s="5">
        <f>YEAR(Table1[[#This Row],[Visitor Date]])</f>
        <v>2022</v>
      </c>
      <c r="T36" s="7" t="str">
        <f>TEXT(Table1[[#This Row],[Visitor Date]],"mmm")</f>
        <v>Feb</v>
      </c>
    </row>
    <row r="37" spans="1:20" x14ac:dyDescent="0.3">
      <c r="A37" s="4" t="s">
        <v>32</v>
      </c>
      <c r="B37" s="5">
        <v>33</v>
      </c>
      <c r="C37" s="5" t="s">
        <v>23</v>
      </c>
      <c r="D37" s="5">
        <v>250</v>
      </c>
      <c r="E37" s="6">
        <v>44605</v>
      </c>
      <c r="F37" s="5">
        <v>15</v>
      </c>
      <c r="G37" s="5">
        <v>60.2</v>
      </c>
      <c r="H37" s="5">
        <v>27</v>
      </c>
      <c r="I37" s="5">
        <v>3.8</v>
      </c>
      <c r="J37" s="5">
        <v>50.5</v>
      </c>
      <c r="K37" s="5">
        <v>75</v>
      </c>
      <c r="L37" s="5">
        <v>15</v>
      </c>
      <c r="M37" s="5" t="s">
        <v>24</v>
      </c>
      <c r="N37" s="5">
        <v>17.8</v>
      </c>
      <c r="O37" s="5" t="s">
        <v>33</v>
      </c>
      <c r="P37" s="5">
        <v>12</v>
      </c>
      <c r="Q37" s="5" t="s">
        <v>34</v>
      </c>
      <c r="R37" s="5">
        <v>9.5</v>
      </c>
      <c r="S37" s="5">
        <f>YEAR(Table1[[#This Row],[Visitor Date]])</f>
        <v>2022</v>
      </c>
      <c r="T37" s="7" t="str">
        <f>TEXT(Table1[[#This Row],[Visitor Date]],"mmm")</f>
        <v>Feb</v>
      </c>
    </row>
    <row r="38" spans="1:20" x14ac:dyDescent="0.3">
      <c r="A38" s="4" t="s">
        <v>18</v>
      </c>
      <c r="B38" s="5">
        <v>91</v>
      </c>
      <c r="C38" s="5" t="s">
        <v>19</v>
      </c>
      <c r="D38" s="5">
        <v>40</v>
      </c>
      <c r="E38" s="6">
        <v>44606</v>
      </c>
      <c r="F38" s="5">
        <v>47</v>
      </c>
      <c r="G38" s="5">
        <v>54.88</v>
      </c>
      <c r="H38" s="5">
        <v>77</v>
      </c>
      <c r="I38" s="5">
        <v>4.4000000000000004</v>
      </c>
      <c r="J38" s="5">
        <v>61.5</v>
      </c>
      <c r="K38" s="5">
        <v>66</v>
      </c>
      <c r="L38" s="5">
        <v>17.100000000000001</v>
      </c>
      <c r="M38" s="5" t="s">
        <v>20</v>
      </c>
      <c r="N38" s="5">
        <v>6.2</v>
      </c>
      <c r="O38" s="5" t="s">
        <v>21</v>
      </c>
      <c r="P38" s="5">
        <v>17.399999999999999</v>
      </c>
      <c r="Q38" s="5" t="s">
        <v>22</v>
      </c>
      <c r="R38" s="5">
        <v>22.2</v>
      </c>
      <c r="S38" s="5">
        <f>YEAR(Table1[[#This Row],[Visitor Date]])</f>
        <v>2022</v>
      </c>
      <c r="T38" s="7" t="str">
        <f>TEXT(Table1[[#This Row],[Visitor Date]],"mmm")</f>
        <v>Feb</v>
      </c>
    </row>
    <row r="39" spans="1:20" x14ac:dyDescent="0.3">
      <c r="A39" s="4" t="s">
        <v>18</v>
      </c>
      <c r="B39" s="5">
        <v>91</v>
      </c>
      <c r="C39" s="5" t="s">
        <v>23</v>
      </c>
      <c r="D39" s="5">
        <v>30</v>
      </c>
      <c r="E39" s="6">
        <v>44607</v>
      </c>
      <c r="F39" s="5">
        <v>35</v>
      </c>
      <c r="G39" s="5">
        <v>56.3</v>
      </c>
      <c r="H39" s="5">
        <v>73</v>
      </c>
      <c r="I39" s="5">
        <v>3.9</v>
      </c>
      <c r="J39" s="5">
        <v>59.2</v>
      </c>
      <c r="K39" s="5">
        <v>56</v>
      </c>
      <c r="L39" s="5">
        <v>16</v>
      </c>
      <c r="M39" s="5" t="s">
        <v>20</v>
      </c>
      <c r="N39" s="5">
        <v>6</v>
      </c>
      <c r="O39" s="5" t="s">
        <v>21</v>
      </c>
      <c r="P39" s="5">
        <v>16.8</v>
      </c>
      <c r="Q39" s="5" t="s">
        <v>22</v>
      </c>
      <c r="R39" s="5">
        <v>21.5</v>
      </c>
      <c r="S39" s="5">
        <f>YEAR(Table1[[#This Row],[Visitor Date]])</f>
        <v>2022</v>
      </c>
      <c r="T39" s="7" t="str">
        <f>TEXT(Table1[[#This Row],[Visitor Date]],"mmm")</f>
        <v>Feb</v>
      </c>
    </row>
    <row r="40" spans="1:20" x14ac:dyDescent="0.3">
      <c r="A40" s="4" t="s">
        <v>24</v>
      </c>
      <c r="B40" s="5">
        <v>44</v>
      </c>
      <c r="C40" s="5" t="s">
        <v>19</v>
      </c>
      <c r="D40" s="5">
        <v>46</v>
      </c>
      <c r="E40" s="6">
        <v>44608</v>
      </c>
      <c r="F40" s="5">
        <v>44</v>
      </c>
      <c r="G40" s="5">
        <v>91.47</v>
      </c>
      <c r="H40" s="5">
        <v>49</v>
      </c>
      <c r="I40" s="5">
        <v>2.7</v>
      </c>
      <c r="J40" s="5">
        <v>47.8</v>
      </c>
      <c r="K40" s="5">
        <v>32</v>
      </c>
      <c r="L40" s="5">
        <v>18</v>
      </c>
      <c r="M40" s="5" t="s">
        <v>24</v>
      </c>
      <c r="N40" s="5">
        <v>27.5</v>
      </c>
      <c r="O40" s="5" t="s">
        <v>21</v>
      </c>
      <c r="P40" s="5">
        <v>8.1</v>
      </c>
      <c r="Q40" s="5" t="s">
        <v>25</v>
      </c>
      <c r="R40" s="5">
        <v>6.9</v>
      </c>
      <c r="S40" s="5">
        <f>YEAR(Table1[[#This Row],[Visitor Date]])</f>
        <v>2022</v>
      </c>
      <c r="T40" s="7" t="str">
        <f>TEXT(Table1[[#This Row],[Visitor Date]],"mmm")</f>
        <v>Feb</v>
      </c>
    </row>
    <row r="41" spans="1:20" x14ac:dyDescent="0.3">
      <c r="A41" s="4" t="s">
        <v>24</v>
      </c>
      <c r="B41" s="5">
        <v>44</v>
      </c>
      <c r="C41" s="5" t="s">
        <v>23</v>
      </c>
      <c r="D41" s="5">
        <v>135</v>
      </c>
      <c r="E41" s="6">
        <v>44609</v>
      </c>
      <c r="F41" s="5">
        <v>32</v>
      </c>
      <c r="G41" s="5">
        <v>85.3</v>
      </c>
      <c r="H41" s="5">
        <v>35</v>
      </c>
      <c r="I41" s="5">
        <v>2.5</v>
      </c>
      <c r="J41" s="5">
        <v>45</v>
      </c>
      <c r="K41" s="5">
        <v>29</v>
      </c>
      <c r="L41" s="5">
        <v>17.5</v>
      </c>
      <c r="M41" s="5" t="s">
        <v>24</v>
      </c>
      <c r="N41" s="5">
        <v>26</v>
      </c>
      <c r="O41" s="5" t="s">
        <v>21</v>
      </c>
      <c r="P41" s="5">
        <v>7.5</v>
      </c>
      <c r="Q41" s="5" t="s">
        <v>25</v>
      </c>
      <c r="R41" s="5">
        <v>6.3</v>
      </c>
      <c r="S41" s="5">
        <f>YEAR(Table1[[#This Row],[Visitor Date]])</f>
        <v>2022</v>
      </c>
      <c r="T41" s="7" t="str">
        <f>TEXT(Table1[[#This Row],[Visitor Date]],"mmm")</f>
        <v>Feb</v>
      </c>
    </row>
    <row r="42" spans="1:20" x14ac:dyDescent="0.3">
      <c r="A42" s="4" t="s">
        <v>26</v>
      </c>
      <c r="B42" s="5">
        <v>26</v>
      </c>
      <c r="C42" s="5" t="s">
        <v>19</v>
      </c>
      <c r="D42" s="5">
        <v>42</v>
      </c>
      <c r="E42" s="6">
        <v>44610</v>
      </c>
      <c r="F42" s="5">
        <v>8</v>
      </c>
      <c r="G42" s="5">
        <v>6.04</v>
      </c>
      <c r="H42" s="5">
        <v>78</v>
      </c>
      <c r="I42" s="5">
        <v>3.2</v>
      </c>
      <c r="J42" s="5">
        <v>48.7</v>
      </c>
      <c r="K42" s="5">
        <v>34</v>
      </c>
      <c r="L42" s="5">
        <v>5.8</v>
      </c>
      <c r="M42" s="5" t="s">
        <v>27</v>
      </c>
      <c r="N42" s="5">
        <v>23.6</v>
      </c>
      <c r="O42" s="5" t="s">
        <v>21</v>
      </c>
      <c r="P42" s="5">
        <v>18.399999999999999</v>
      </c>
      <c r="Q42" s="5" t="s">
        <v>22</v>
      </c>
      <c r="R42" s="5">
        <v>11.6</v>
      </c>
      <c r="S42" s="5">
        <f>YEAR(Table1[[#This Row],[Visitor Date]])</f>
        <v>2022</v>
      </c>
      <c r="T42" s="7" t="str">
        <f>TEXT(Table1[[#This Row],[Visitor Date]],"mmm")</f>
        <v>Feb</v>
      </c>
    </row>
    <row r="43" spans="1:20" x14ac:dyDescent="0.3">
      <c r="A43" s="4" t="s">
        <v>26</v>
      </c>
      <c r="B43" s="5">
        <v>26</v>
      </c>
      <c r="C43" s="5" t="s">
        <v>23</v>
      </c>
      <c r="D43" s="5">
        <v>30</v>
      </c>
      <c r="E43" s="6">
        <v>44611</v>
      </c>
      <c r="F43" s="5">
        <v>10</v>
      </c>
      <c r="G43" s="5">
        <v>7.5</v>
      </c>
      <c r="H43" s="5">
        <v>75</v>
      </c>
      <c r="I43" s="5">
        <v>3</v>
      </c>
      <c r="J43" s="5">
        <v>46.2</v>
      </c>
      <c r="K43" s="5">
        <v>27</v>
      </c>
      <c r="L43" s="5">
        <v>5.5</v>
      </c>
      <c r="M43" s="5" t="s">
        <v>27</v>
      </c>
      <c r="N43" s="5">
        <v>22</v>
      </c>
      <c r="O43" s="5" t="s">
        <v>21</v>
      </c>
      <c r="P43" s="5">
        <v>16.7</v>
      </c>
      <c r="Q43" s="5" t="s">
        <v>22</v>
      </c>
      <c r="R43" s="5">
        <v>10.8</v>
      </c>
      <c r="S43" s="5">
        <f>YEAR(Table1[[#This Row],[Visitor Date]])</f>
        <v>2022</v>
      </c>
      <c r="T43" s="7" t="str">
        <f>TEXT(Table1[[#This Row],[Visitor Date]],"mmm")</f>
        <v>Feb</v>
      </c>
    </row>
    <row r="44" spans="1:20" x14ac:dyDescent="0.3">
      <c r="A44" s="4" t="s">
        <v>28</v>
      </c>
      <c r="B44" s="5">
        <v>68</v>
      </c>
      <c r="C44" s="5" t="s">
        <v>19</v>
      </c>
      <c r="D44" s="5">
        <v>43</v>
      </c>
      <c r="E44" s="6">
        <v>44612</v>
      </c>
      <c r="F44" s="5">
        <v>11</v>
      </c>
      <c r="G44" s="5">
        <v>90</v>
      </c>
      <c r="H44" s="5">
        <v>54</v>
      </c>
      <c r="I44" s="5">
        <v>3.3</v>
      </c>
      <c r="J44" s="5">
        <v>7.8</v>
      </c>
      <c r="K44" s="5">
        <v>33</v>
      </c>
      <c r="L44" s="5">
        <v>11</v>
      </c>
      <c r="M44" s="5" t="s">
        <v>20</v>
      </c>
      <c r="N44" s="5">
        <v>5.3</v>
      </c>
      <c r="O44" s="5" t="s">
        <v>29</v>
      </c>
      <c r="P44" s="5">
        <v>20.5</v>
      </c>
      <c r="Q44" s="5" t="s">
        <v>25</v>
      </c>
      <c r="R44" s="5">
        <v>19.5</v>
      </c>
      <c r="S44" s="5">
        <f>YEAR(Table1[[#This Row],[Visitor Date]])</f>
        <v>2022</v>
      </c>
      <c r="T44" s="7" t="str">
        <f>TEXT(Table1[[#This Row],[Visitor Date]],"mmm")</f>
        <v>Feb</v>
      </c>
    </row>
    <row r="45" spans="1:20" x14ac:dyDescent="0.3">
      <c r="A45" s="4" t="s">
        <v>28</v>
      </c>
      <c r="B45" s="5">
        <v>68</v>
      </c>
      <c r="C45" s="5" t="s">
        <v>23</v>
      </c>
      <c r="D45" s="5">
        <v>35</v>
      </c>
      <c r="E45" s="6">
        <v>44613</v>
      </c>
      <c r="F45" s="5">
        <v>9</v>
      </c>
      <c r="G45" s="5">
        <v>88</v>
      </c>
      <c r="H45" s="5">
        <v>50</v>
      </c>
      <c r="I45" s="5">
        <v>3.1</v>
      </c>
      <c r="J45" s="5">
        <v>4</v>
      </c>
      <c r="K45" s="5">
        <v>29</v>
      </c>
      <c r="L45" s="5">
        <v>10.199999999999999</v>
      </c>
      <c r="M45" s="5" t="s">
        <v>20</v>
      </c>
      <c r="N45" s="5">
        <v>4.8</v>
      </c>
      <c r="O45" s="5" t="s">
        <v>29</v>
      </c>
      <c r="P45" s="5">
        <v>19.7</v>
      </c>
      <c r="Q45" s="5" t="s">
        <v>25</v>
      </c>
      <c r="R45" s="5">
        <v>18</v>
      </c>
      <c r="S45" s="5">
        <f>YEAR(Table1[[#This Row],[Visitor Date]])</f>
        <v>2022</v>
      </c>
      <c r="T45" s="7" t="str">
        <f>TEXT(Table1[[#This Row],[Visitor Date]],"mmm")</f>
        <v>Feb</v>
      </c>
    </row>
    <row r="46" spans="1:20" x14ac:dyDescent="0.3">
      <c r="A46" s="4" t="s">
        <v>30</v>
      </c>
      <c r="B46" s="5">
        <v>14</v>
      </c>
      <c r="C46" s="5" t="s">
        <v>19</v>
      </c>
      <c r="D46" s="5">
        <v>100</v>
      </c>
      <c r="E46" s="6">
        <v>44614</v>
      </c>
      <c r="F46" s="5">
        <v>14</v>
      </c>
      <c r="G46" s="5">
        <v>70.63</v>
      </c>
      <c r="H46" s="5">
        <v>41</v>
      </c>
      <c r="I46" s="5">
        <v>3.9</v>
      </c>
      <c r="J46" s="5">
        <v>59.4</v>
      </c>
      <c r="K46" s="5">
        <v>89</v>
      </c>
      <c r="L46" s="5">
        <v>15.6</v>
      </c>
      <c r="M46" s="5" t="s">
        <v>27</v>
      </c>
      <c r="N46" s="5">
        <v>23.7</v>
      </c>
      <c r="O46" s="5" t="s">
        <v>31</v>
      </c>
      <c r="P46" s="5">
        <v>15.6</v>
      </c>
      <c r="Q46" s="5" t="s">
        <v>25</v>
      </c>
      <c r="R46" s="5">
        <v>15.1</v>
      </c>
      <c r="S46" s="5">
        <f>YEAR(Table1[[#This Row],[Visitor Date]])</f>
        <v>2022</v>
      </c>
      <c r="T46" s="7" t="str">
        <f>TEXT(Table1[[#This Row],[Visitor Date]],"mmm")</f>
        <v>Feb</v>
      </c>
    </row>
    <row r="47" spans="1:20" x14ac:dyDescent="0.3">
      <c r="A47" s="4" t="s">
        <v>30</v>
      </c>
      <c r="B47" s="5">
        <v>14</v>
      </c>
      <c r="C47" s="5" t="s">
        <v>23</v>
      </c>
      <c r="D47" s="5">
        <v>8</v>
      </c>
      <c r="E47" s="6">
        <v>44615</v>
      </c>
      <c r="F47" s="5">
        <v>10</v>
      </c>
      <c r="G47" s="5">
        <v>65</v>
      </c>
      <c r="H47" s="5">
        <v>25</v>
      </c>
      <c r="I47" s="5">
        <v>3.5</v>
      </c>
      <c r="J47" s="5">
        <v>55</v>
      </c>
      <c r="K47" s="5">
        <v>65</v>
      </c>
      <c r="L47" s="5">
        <v>14</v>
      </c>
      <c r="M47" s="5" t="s">
        <v>27</v>
      </c>
      <c r="N47" s="5">
        <v>21.5</v>
      </c>
      <c r="O47" s="5" t="s">
        <v>31</v>
      </c>
      <c r="P47" s="5">
        <v>13.9</v>
      </c>
      <c r="Q47" s="5" t="s">
        <v>25</v>
      </c>
      <c r="R47" s="5">
        <v>14.2</v>
      </c>
      <c r="S47" s="5">
        <f>YEAR(Table1[[#This Row],[Visitor Date]])</f>
        <v>2022</v>
      </c>
      <c r="T47" s="7" t="str">
        <f>TEXT(Table1[[#This Row],[Visitor Date]],"mmm")</f>
        <v>Feb</v>
      </c>
    </row>
    <row r="48" spans="1:20" x14ac:dyDescent="0.3">
      <c r="A48" s="4" t="s">
        <v>32</v>
      </c>
      <c r="B48" s="5">
        <v>33</v>
      </c>
      <c r="C48" s="5" t="s">
        <v>19</v>
      </c>
      <c r="D48" s="5">
        <v>38</v>
      </c>
      <c r="E48" s="6">
        <v>44616</v>
      </c>
      <c r="F48" s="5">
        <v>19</v>
      </c>
      <c r="G48" s="5">
        <v>65.34</v>
      </c>
      <c r="H48" s="5">
        <v>26</v>
      </c>
      <c r="I48" s="5">
        <v>4.0999999999999996</v>
      </c>
      <c r="J48" s="5">
        <v>20</v>
      </c>
      <c r="K48" s="5">
        <v>93</v>
      </c>
      <c r="L48" s="5">
        <v>16.2</v>
      </c>
      <c r="M48" s="5" t="s">
        <v>24</v>
      </c>
      <c r="N48" s="5">
        <v>18.899999999999999</v>
      </c>
      <c r="O48" s="5" t="s">
        <v>33</v>
      </c>
      <c r="P48" s="5">
        <v>13.8</v>
      </c>
      <c r="Q48" s="5" t="s">
        <v>34</v>
      </c>
      <c r="R48" s="5">
        <v>10.7</v>
      </c>
      <c r="S48" s="5">
        <f>YEAR(Table1[[#This Row],[Visitor Date]])</f>
        <v>2022</v>
      </c>
      <c r="T48" s="7" t="str">
        <f>TEXT(Table1[[#This Row],[Visitor Date]],"mmm")</f>
        <v>Feb</v>
      </c>
    </row>
    <row r="49" spans="1:20" x14ac:dyDescent="0.3">
      <c r="A49" s="4" t="s">
        <v>32</v>
      </c>
      <c r="B49" s="5">
        <v>33</v>
      </c>
      <c r="C49" s="5" t="s">
        <v>23</v>
      </c>
      <c r="D49" s="5">
        <v>25</v>
      </c>
      <c r="E49" s="6">
        <v>44617</v>
      </c>
      <c r="F49" s="5">
        <v>15</v>
      </c>
      <c r="G49" s="5">
        <v>60.2</v>
      </c>
      <c r="H49" s="5">
        <v>27</v>
      </c>
      <c r="I49" s="5">
        <v>3.8</v>
      </c>
      <c r="J49" s="5">
        <v>50.5</v>
      </c>
      <c r="K49" s="5">
        <v>75</v>
      </c>
      <c r="L49" s="5">
        <v>15</v>
      </c>
      <c r="M49" s="5" t="s">
        <v>24</v>
      </c>
      <c r="N49" s="5">
        <v>17.8</v>
      </c>
      <c r="O49" s="5" t="s">
        <v>33</v>
      </c>
      <c r="P49" s="5">
        <v>12</v>
      </c>
      <c r="Q49" s="5" t="s">
        <v>34</v>
      </c>
      <c r="R49" s="5">
        <v>9.5</v>
      </c>
      <c r="S49" s="5">
        <f>YEAR(Table1[[#This Row],[Visitor Date]])</f>
        <v>2022</v>
      </c>
      <c r="T49" s="7" t="str">
        <f>TEXT(Table1[[#This Row],[Visitor Date]],"mmm")</f>
        <v>Feb</v>
      </c>
    </row>
    <row r="50" spans="1:20" x14ac:dyDescent="0.3">
      <c r="A50" s="4" t="s">
        <v>18</v>
      </c>
      <c r="B50" s="5">
        <v>91</v>
      </c>
      <c r="C50" s="5" t="s">
        <v>19</v>
      </c>
      <c r="D50" s="5">
        <v>40</v>
      </c>
      <c r="E50" s="6">
        <v>44618</v>
      </c>
      <c r="F50" s="5">
        <v>47</v>
      </c>
      <c r="G50" s="5">
        <v>54.88</v>
      </c>
      <c r="H50" s="5">
        <v>77</v>
      </c>
      <c r="I50" s="5">
        <v>4.4000000000000004</v>
      </c>
      <c r="J50" s="5">
        <v>1.5</v>
      </c>
      <c r="K50" s="5">
        <v>66</v>
      </c>
      <c r="L50" s="5">
        <v>17.100000000000001</v>
      </c>
      <c r="M50" s="5" t="s">
        <v>20</v>
      </c>
      <c r="N50" s="5">
        <v>6.2</v>
      </c>
      <c r="O50" s="5" t="s">
        <v>21</v>
      </c>
      <c r="P50" s="5">
        <v>17.399999999999999</v>
      </c>
      <c r="Q50" s="5" t="s">
        <v>22</v>
      </c>
      <c r="R50" s="5">
        <v>22.2</v>
      </c>
      <c r="S50" s="5">
        <f>YEAR(Table1[[#This Row],[Visitor Date]])</f>
        <v>2022</v>
      </c>
      <c r="T50" s="7" t="str">
        <f>TEXT(Table1[[#This Row],[Visitor Date]],"mmm")</f>
        <v>Feb</v>
      </c>
    </row>
    <row r="51" spans="1:20" x14ac:dyDescent="0.3">
      <c r="A51" s="4" t="s">
        <v>18</v>
      </c>
      <c r="B51" s="5">
        <v>91</v>
      </c>
      <c r="C51" s="5" t="s">
        <v>23</v>
      </c>
      <c r="D51" s="5">
        <v>30</v>
      </c>
      <c r="E51" s="6">
        <v>44619</v>
      </c>
      <c r="F51" s="5">
        <v>35</v>
      </c>
      <c r="G51" s="5">
        <v>56.3</v>
      </c>
      <c r="H51" s="5">
        <v>73</v>
      </c>
      <c r="I51" s="5">
        <v>3.9</v>
      </c>
      <c r="J51" s="5">
        <v>59.2</v>
      </c>
      <c r="K51" s="5">
        <v>56</v>
      </c>
      <c r="L51" s="5">
        <v>16</v>
      </c>
      <c r="M51" s="5" t="s">
        <v>20</v>
      </c>
      <c r="N51" s="5">
        <v>6</v>
      </c>
      <c r="O51" s="5" t="s">
        <v>21</v>
      </c>
      <c r="P51" s="5">
        <v>16.8</v>
      </c>
      <c r="Q51" s="5" t="s">
        <v>22</v>
      </c>
      <c r="R51" s="5">
        <v>21.5</v>
      </c>
      <c r="S51" s="5">
        <f>YEAR(Table1[[#This Row],[Visitor Date]])</f>
        <v>2022</v>
      </c>
      <c r="T51" s="7" t="str">
        <f>TEXT(Table1[[#This Row],[Visitor Date]],"mmm")</f>
        <v>Feb</v>
      </c>
    </row>
    <row r="52" spans="1:20" x14ac:dyDescent="0.3">
      <c r="A52" s="4" t="s">
        <v>24</v>
      </c>
      <c r="B52" s="5">
        <v>44</v>
      </c>
      <c r="C52" s="5" t="s">
        <v>19</v>
      </c>
      <c r="D52" s="5">
        <v>46</v>
      </c>
      <c r="E52" s="6">
        <v>44620</v>
      </c>
      <c r="F52" s="5">
        <v>44</v>
      </c>
      <c r="G52" s="5">
        <v>91.47</v>
      </c>
      <c r="H52" s="5">
        <v>49</v>
      </c>
      <c r="I52" s="5">
        <v>2.7</v>
      </c>
      <c r="J52" s="5">
        <v>47.8</v>
      </c>
      <c r="K52" s="5">
        <v>32</v>
      </c>
      <c r="L52" s="5">
        <v>18</v>
      </c>
      <c r="M52" s="5" t="s">
        <v>24</v>
      </c>
      <c r="N52" s="5">
        <v>27.5</v>
      </c>
      <c r="O52" s="5" t="s">
        <v>21</v>
      </c>
      <c r="P52" s="5">
        <v>8.1</v>
      </c>
      <c r="Q52" s="5" t="s">
        <v>25</v>
      </c>
      <c r="R52" s="5">
        <v>6.9</v>
      </c>
      <c r="S52" s="5">
        <f>YEAR(Table1[[#This Row],[Visitor Date]])</f>
        <v>2022</v>
      </c>
      <c r="T52" s="7" t="str">
        <f>TEXT(Table1[[#This Row],[Visitor Date]],"mmm")</f>
        <v>Feb</v>
      </c>
    </row>
    <row r="53" spans="1:20" x14ac:dyDescent="0.3">
      <c r="A53" s="4" t="s">
        <v>24</v>
      </c>
      <c r="B53" s="5">
        <v>44</v>
      </c>
      <c r="C53" s="5" t="s">
        <v>23</v>
      </c>
      <c r="D53" s="5">
        <v>135</v>
      </c>
      <c r="E53" s="6">
        <v>44621</v>
      </c>
      <c r="F53" s="5">
        <v>32</v>
      </c>
      <c r="G53" s="5">
        <v>85.3</v>
      </c>
      <c r="H53" s="5">
        <v>35</v>
      </c>
      <c r="I53" s="5">
        <v>2.5</v>
      </c>
      <c r="J53" s="5">
        <v>45</v>
      </c>
      <c r="K53" s="5">
        <v>29</v>
      </c>
      <c r="L53" s="5">
        <v>17.5</v>
      </c>
      <c r="M53" s="5" t="s">
        <v>24</v>
      </c>
      <c r="N53" s="5">
        <v>26</v>
      </c>
      <c r="O53" s="5" t="s">
        <v>21</v>
      </c>
      <c r="P53" s="5">
        <v>7.5</v>
      </c>
      <c r="Q53" s="5" t="s">
        <v>25</v>
      </c>
      <c r="R53" s="5">
        <v>6.3</v>
      </c>
      <c r="S53" s="5">
        <f>YEAR(Table1[[#This Row],[Visitor Date]])</f>
        <v>2022</v>
      </c>
      <c r="T53" s="7" t="str">
        <f>TEXT(Table1[[#This Row],[Visitor Date]],"mmm")</f>
        <v>Mar</v>
      </c>
    </row>
    <row r="54" spans="1:20" x14ac:dyDescent="0.3">
      <c r="A54" s="4" t="s">
        <v>26</v>
      </c>
      <c r="B54" s="5">
        <v>26</v>
      </c>
      <c r="C54" s="5" t="s">
        <v>19</v>
      </c>
      <c r="D54" s="5">
        <v>42</v>
      </c>
      <c r="E54" s="6">
        <v>44622</v>
      </c>
      <c r="F54" s="5">
        <v>8</v>
      </c>
      <c r="G54" s="5">
        <v>6.04</v>
      </c>
      <c r="H54" s="5">
        <v>78</v>
      </c>
      <c r="I54" s="5">
        <v>3.2</v>
      </c>
      <c r="J54" s="5">
        <v>48.7</v>
      </c>
      <c r="K54" s="5">
        <v>34</v>
      </c>
      <c r="L54" s="5">
        <v>5.8</v>
      </c>
      <c r="M54" s="5" t="s">
        <v>27</v>
      </c>
      <c r="N54" s="5">
        <v>23.6</v>
      </c>
      <c r="O54" s="5" t="s">
        <v>21</v>
      </c>
      <c r="P54" s="5">
        <v>18.399999999999999</v>
      </c>
      <c r="Q54" s="5" t="s">
        <v>22</v>
      </c>
      <c r="R54" s="5">
        <v>11.6</v>
      </c>
      <c r="S54" s="5">
        <f>YEAR(Table1[[#This Row],[Visitor Date]])</f>
        <v>2022</v>
      </c>
      <c r="T54" s="7" t="str">
        <f>TEXT(Table1[[#This Row],[Visitor Date]],"mmm")</f>
        <v>Mar</v>
      </c>
    </row>
    <row r="55" spans="1:20" x14ac:dyDescent="0.3">
      <c r="A55" s="4" t="s">
        <v>26</v>
      </c>
      <c r="B55" s="5">
        <v>26</v>
      </c>
      <c r="C55" s="5" t="s">
        <v>23</v>
      </c>
      <c r="D55" s="5">
        <v>30</v>
      </c>
      <c r="E55" s="6">
        <v>44623</v>
      </c>
      <c r="F55" s="5">
        <v>10</v>
      </c>
      <c r="G55" s="5">
        <v>7.5</v>
      </c>
      <c r="H55" s="5">
        <v>75</v>
      </c>
      <c r="I55" s="5">
        <v>3</v>
      </c>
      <c r="J55" s="5">
        <v>46.2</v>
      </c>
      <c r="K55" s="5">
        <v>27</v>
      </c>
      <c r="L55" s="5">
        <v>5.5</v>
      </c>
      <c r="M55" s="5" t="s">
        <v>27</v>
      </c>
      <c r="N55" s="5">
        <v>22</v>
      </c>
      <c r="O55" s="5" t="s">
        <v>21</v>
      </c>
      <c r="P55" s="5">
        <v>16.7</v>
      </c>
      <c r="Q55" s="5" t="s">
        <v>22</v>
      </c>
      <c r="R55" s="5">
        <v>10.8</v>
      </c>
      <c r="S55" s="5">
        <f>YEAR(Table1[[#This Row],[Visitor Date]])</f>
        <v>2022</v>
      </c>
      <c r="T55" s="7" t="str">
        <f>TEXT(Table1[[#This Row],[Visitor Date]],"mmm")</f>
        <v>Mar</v>
      </c>
    </row>
    <row r="56" spans="1:20" x14ac:dyDescent="0.3">
      <c r="A56" s="4" t="s">
        <v>28</v>
      </c>
      <c r="B56" s="5">
        <v>68</v>
      </c>
      <c r="C56" s="5" t="s">
        <v>19</v>
      </c>
      <c r="D56" s="5">
        <v>143</v>
      </c>
      <c r="E56" s="6">
        <v>44624</v>
      </c>
      <c r="F56" s="5">
        <v>11</v>
      </c>
      <c r="G56" s="5">
        <v>90</v>
      </c>
      <c r="H56" s="5">
        <v>54</v>
      </c>
      <c r="I56" s="5">
        <v>3.3</v>
      </c>
      <c r="J56" s="5">
        <v>67.8</v>
      </c>
      <c r="K56" s="5">
        <v>33</v>
      </c>
      <c r="L56" s="5">
        <v>11</v>
      </c>
      <c r="M56" s="5" t="s">
        <v>20</v>
      </c>
      <c r="N56" s="5">
        <v>5.3</v>
      </c>
      <c r="O56" s="5" t="s">
        <v>29</v>
      </c>
      <c r="P56" s="5">
        <v>20.5</v>
      </c>
      <c r="Q56" s="5" t="s">
        <v>25</v>
      </c>
      <c r="R56" s="5">
        <v>19.5</v>
      </c>
      <c r="S56" s="5">
        <f>YEAR(Table1[[#This Row],[Visitor Date]])</f>
        <v>2022</v>
      </c>
      <c r="T56" s="7" t="str">
        <f>TEXT(Table1[[#This Row],[Visitor Date]],"mmm")</f>
        <v>Mar</v>
      </c>
    </row>
    <row r="57" spans="1:20" x14ac:dyDescent="0.3">
      <c r="A57" s="4" t="s">
        <v>28</v>
      </c>
      <c r="B57" s="5">
        <v>68</v>
      </c>
      <c r="C57" s="5" t="s">
        <v>23</v>
      </c>
      <c r="D57" s="5">
        <v>35</v>
      </c>
      <c r="E57" s="6">
        <v>44625</v>
      </c>
      <c r="F57" s="5">
        <v>9</v>
      </c>
      <c r="G57" s="5">
        <v>88</v>
      </c>
      <c r="H57" s="5">
        <v>50</v>
      </c>
      <c r="I57" s="5">
        <v>3.1</v>
      </c>
      <c r="J57" s="5">
        <v>64</v>
      </c>
      <c r="K57" s="5">
        <v>29</v>
      </c>
      <c r="L57" s="5">
        <v>10.199999999999999</v>
      </c>
      <c r="M57" s="5" t="s">
        <v>20</v>
      </c>
      <c r="N57" s="5">
        <v>4.8</v>
      </c>
      <c r="O57" s="5" t="s">
        <v>29</v>
      </c>
      <c r="P57" s="5">
        <v>19.7</v>
      </c>
      <c r="Q57" s="5" t="s">
        <v>25</v>
      </c>
      <c r="R57" s="5">
        <v>18</v>
      </c>
      <c r="S57" s="5">
        <f>YEAR(Table1[[#This Row],[Visitor Date]])</f>
        <v>2022</v>
      </c>
      <c r="T57" s="7" t="str">
        <f>TEXT(Table1[[#This Row],[Visitor Date]],"mmm")</f>
        <v>Mar</v>
      </c>
    </row>
    <row r="58" spans="1:20" x14ac:dyDescent="0.3">
      <c r="A58" s="4" t="s">
        <v>30</v>
      </c>
      <c r="B58" s="5">
        <v>14</v>
      </c>
      <c r="C58" s="5" t="s">
        <v>19</v>
      </c>
      <c r="D58" s="5">
        <v>10</v>
      </c>
      <c r="E58" s="6">
        <v>44626</v>
      </c>
      <c r="F58" s="5">
        <v>14</v>
      </c>
      <c r="G58" s="5">
        <v>70.63</v>
      </c>
      <c r="H58" s="5">
        <v>41</v>
      </c>
      <c r="I58" s="5">
        <v>3.9</v>
      </c>
      <c r="J58" s="5">
        <v>59.4</v>
      </c>
      <c r="K58" s="5">
        <v>89</v>
      </c>
      <c r="L58" s="5">
        <v>15.6</v>
      </c>
      <c r="M58" s="5" t="s">
        <v>27</v>
      </c>
      <c r="N58" s="5">
        <v>23.7</v>
      </c>
      <c r="O58" s="5" t="s">
        <v>31</v>
      </c>
      <c r="P58" s="5">
        <v>15.6</v>
      </c>
      <c r="Q58" s="5" t="s">
        <v>25</v>
      </c>
      <c r="R58" s="5">
        <v>15.1</v>
      </c>
      <c r="S58" s="5">
        <f>YEAR(Table1[[#This Row],[Visitor Date]])</f>
        <v>2022</v>
      </c>
      <c r="T58" s="7" t="str">
        <f>TEXT(Table1[[#This Row],[Visitor Date]],"mmm")</f>
        <v>Mar</v>
      </c>
    </row>
    <row r="59" spans="1:20" x14ac:dyDescent="0.3">
      <c r="A59" s="4" t="s">
        <v>30</v>
      </c>
      <c r="B59" s="5">
        <v>14</v>
      </c>
      <c r="C59" s="5" t="s">
        <v>23</v>
      </c>
      <c r="D59" s="5">
        <v>80</v>
      </c>
      <c r="E59" s="6">
        <v>44627</v>
      </c>
      <c r="F59" s="5">
        <v>10</v>
      </c>
      <c r="G59" s="5">
        <v>65</v>
      </c>
      <c r="H59" s="5">
        <v>25</v>
      </c>
      <c r="I59" s="5">
        <v>3.5</v>
      </c>
      <c r="J59" s="5">
        <v>55</v>
      </c>
      <c r="K59" s="5">
        <v>65</v>
      </c>
      <c r="L59" s="5">
        <v>14</v>
      </c>
      <c r="M59" s="5" t="s">
        <v>27</v>
      </c>
      <c r="N59" s="5">
        <v>21.5</v>
      </c>
      <c r="O59" s="5" t="s">
        <v>31</v>
      </c>
      <c r="P59" s="5">
        <v>13.9</v>
      </c>
      <c r="Q59" s="5" t="s">
        <v>25</v>
      </c>
      <c r="R59" s="5">
        <v>14.2</v>
      </c>
      <c r="S59" s="5">
        <f>YEAR(Table1[[#This Row],[Visitor Date]])</f>
        <v>2022</v>
      </c>
      <c r="T59" s="7" t="str">
        <f>TEXT(Table1[[#This Row],[Visitor Date]],"mmm")</f>
        <v>Mar</v>
      </c>
    </row>
    <row r="60" spans="1:20" x14ac:dyDescent="0.3">
      <c r="A60" s="4" t="s">
        <v>32</v>
      </c>
      <c r="B60" s="5">
        <v>33</v>
      </c>
      <c r="C60" s="5" t="s">
        <v>19</v>
      </c>
      <c r="D60" s="5">
        <v>38</v>
      </c>
      <c r="E60" s="6">
        <v>44628</v>
      </c>
      <c r="F60" s="5">
        <v>19</v>
      </c>
      <c r="G60" s="5">
        <v>65.34</v>
      </c>
      <c r="H60" s="5">
        <v>26</v>
      </c>
      <c r="I60" s="5">
        <v>4.0999999999999996</v>
      </c>
      <c r="J60" s="5">
        <v>52.3</v>
      </c>
      <c r="K60" s="5">
        <v>93</v>
      </c>
      <c r="L60" s="5">
        <v>16.2</v>
      </c>
      <c r="M60" s="5" t="s">
        <v>24</v>
      </c>
      <c r="N60" s="5">
        <v>18.899999999999999</v>
      </c>
      <c r="O60" s="5" t="s">
        <v>33</v>
      </c>
      <c r="P60" s="5">
        <v>13.8</v>
      </c>
      <c r="Q60" s="5" t="s">
        <v>34</v>
      </c>
      <c r="R60" s="5">
        <v>10.7</v>
      </c>
      <c r="S60" s="5">
        <f>YEAR(Table1[[#This Row],[Visitor Date]])</f>
        <v>2022</v>
      </c>
      <c r="T60" s="7" t="str">
        <f>TEXT(Table1[[#This Row],[Visitor Date]],"mmm")</f>
        <v>Mar</v>
      </c>
    </row>
    <row r="61" spans="1:20" x14ac:dyDescent="0.3">
      <c r="A61" s="4" t="s">
        <v>32</v>
      </c>
      <c r="B61" s="5">
        <v>33</v>
      </c>
      <c r="C61" s="5" t="s">
        <v>23</v>
      </c>
      <c r="D61" s="5">
        <v>125</v>
      </c>
      <c r="E61" s="6">
        <v>44629</v>
      </c>
      <c r="F61" s="5">
        <v>15</v>
      </c>
      <c r="G61" s="5">
        <v>60.2</v>
      </c>
      <c r="H61" s="5">
        <v>27</v>
      </c>
      <c r="I61" s="5">
        <v>3.8</v>
      </c>
      <c r="J61" s="5">
        <v>50.5</v>
      </c>
      <c r="K61" s="5">
        <v>75</v>
      </c>
      <c r="L61" s="5">
        <v>15</v>
      </c>
      <c r="M61" s="5" t="s">
        <v>24</v>
      </c>
      <c r="N61" s="5">
        <v>17.8</v>
      </c>
      <c r="O61" s="5" t="s">
        <v>33</v>
      </c>
      <c r="P61" s="5">
        <v>12</v>
      </c>
      <c r="Q61" s="5" t="s">
        <v>34</v>
      </c>
      <c r="R61" s="5">
        <v>9.5</v>
      </c>
      <c r="S61" s="5">
        <f>YEAR(Table1[[#This Row],[Visitor Date]])</f>
        <v>2022</v>
      </c>
      <c r="T61" s="7" t="str">
        <f>TEXT(Table1[[#This Row],[Visitor Date]],"mmm")</f>
        <v>Mar</v>
      </c>
    </row>
    <row r="62" spans="1:20" x14ac:dyDescent="0.3">
      <c r="A62" s="4" t="s">
        <v>18</v>
      </c>
      <c r="B62" s="5">
        <v>91</v>
      </c>
      <c r="C62" s="5" t="s">
        <v>19</v>
      </c>
      <c r="D62" s="5">
        <v>56</v>
      </c>
      <c r="E62" s="6">
        <v>44630</v>
      </c>
      <c r="F62" s="5">
        <v>55</v>
      </c>
      <c r="G62" s="5">
        <v>54.88</v>
      </c>
      <c r="H62" s="5">
        <v>77</v>
      </c>
      <c r="I62" s="5">
        <v>4.3</v>
      </c>
      <c r="J62" s="5">
        <v>1.5</v>
      </c>
      <c r="K62" s="5">
        <v>71</v>
      </c>
      <c r="L62" s="5">
        <v>17.100000000000001</v>
      </c>
      <c r="M62" s="5" t="s">
        <v>20</v>
      </c>
      <c r="N62" s="5">
        <v>6.2</v>
      </c>
      <c r="O62" s="5" t="s">
        <v>21</v>
      </c>
      <c r="P62" s="5">
        <v>17.399999999999999</v>
      </c>
      <c r="Q62" s="5" t="s">
        <v>22</v>
      </c>
      <c r="R62" s="5">
        <v>22.2</v>
      </c>
      <c r="S62" s="5">
        <f>YEAR(Table1[[#This Row],[Visitor Date]])</f>
        <v>2022</v>
      </c>
      <c r="T62" s="7" t="str">
        <f>TEXT(Table1[[#This Row],[Visitor Date]],"mmm")</f>
        <v>Mar</v>
      </c>
    </row>
    <row r="63" spans="1:20" x14ac:dyDescent="0.3">
      <c r="A63" s="4" t="s">
        <v>18</v>
      </c>
      <c r="B63" s="5">
        <v>91</v>
      </c>
      <c r="C63" s="5" t="s">
        <v>23</v>
      </c>
      <c r="D63" s="5">
        <v>24</v>
      </c>
      <c r="E63" s="6">
        <v>44631</v>
      </c>
      <c r="F63" s="5">
        <v>28</v>
      </c>
      <c r="G63" s="5">
        <v>56.3</v>
      </c>
      <c r="H63" s="5">
        <v>73</v>
      </c>
      <c r="I63" s="5">
        <v>3.5</v>
      </c>
      <c r="J63" s="5">
        <v>5</v>
      </c>
      <c r="K63" s="5">
        <v>55</v>
      </c>
      <c r="L63" s="5">
        <v>16</v>
      </c>
      <c r="M63" s="5" t="s">
        <v>20</v>
      </c>
      <c r="N63" s="5">
        <v>6</v>
      </c>
      <c r="O63" s="5" t="s">
        <v>21</v>
      </c>
      <c r="P63" s="5">
        <v>16.8</v>
      </c>
      <c r="Q63" s="5" t="s">
        <v>22</v>
      </c>
      <c r="R63" s="5">
        <v>21.5</v>
      </c>
      <c r="S63" s="5">
        <f>YEAR(Table1[[#This Row],[Visitor Date]])</f>
        <v>2022</v>
      </c>
      <c r="T63" s="7" t="str">
        <f>TEXT(Table1[[#This Row],[Visitor Date]],"mmm")</f>
        <v>Mar</v>
      </c>
    </row>
    <row r="64" spans="1:20" x14ac:dyDescent="0.3">
      <c r="A64" s="4" t="s">
        <v>24</v>
      </c>
      <c r="B64" s="5">
        <v>44</v>
      </c>
      <c r="C64" s="5" t="s">
        <v>19</v>
      </c>
      <c r="D64" s="5">
        <v>40</v>
      </c>
      <c r="E64" s="6">
        <v>44632</v>
      </c>
      <c r="F64" s="5">
        <v>48</v>
      </c>
      <c r="G64" s="5">
        <v>91.47</v>
      </c>
      <c r="H64" s="5">
        <v>49</v>
      </c>
      <c r="I64" s="5">
        <v>3</v>
      </c>
      <c r="J64" s="5">
        <v>47.8</v>
      </c>
      <c r="K64" s="5">
        <v>33</v>
      </c>
      <c r="L64" s="5">
        <v>18</v>
      </c>
      <c r="M64" s="5" t="s">
        <v>24</v>
      </c>
      <c r="N64" s="5">
        <v>27.5</v>
      </c>
      <c r="O64" s="5" t="s">
        <v>21</v>
      </c>
      <c r="P64" s="5">
        <v>8.1</v>
      </c>
      <c r="Q64" s="5" t="s">
        <v>25</v>
      </c>
      <c r="R64" s="5">
        <v>6.9</v>
      </c>
      <c r="S64" s="5">
        <f>YEAR(Table1[[#This Row],[Visitor Date]])</f>
        <v>2022</v>
      </c>
      <c r="T64" s="7" t="str">
        <f>TEXT(Table1[[#This Row],[Visitor Date]],"mmm")</f>
        <v>Mar</v>
      </c>
    </row>
    <row r="65" spans="1:20" x14ac:dyDescent="0.3">
      <c r="A65" s="4" t="s">
        <v>24</v>
      </c>
      <c r="B65" s="5">
        <v>44</v>
      </c>
      <c r="C65" s="5" t="s">
        <v>23</v>
      </c>
      <c r="D65" s="5">
        <v>37</v>
      </c>
      <c r="E65" s="6">
        <v>44633</v>
      </c>
      <c r="F65" s="5">
        <v>39</v>
      </c>
      <c r="G65" s="5">
        <v>85.3</v>
      </c>
      <c r="H65" s="5">
        <v>35</v>
      </c>
      <c r="I65" s="5">
        <v>2.8</v>
      </c>
      <c r="J65" s="5">
        <v>45</v>
      </c>
      <c r="K65" s="5">
        <v>28</v>
      </c>
      <c r="L65" s="5">
        <v>17.5</v>
      </c>
      <c r="M65" s="5" t="s">
        <v>24</v>
      </c>
      <c r="N65" s="5">
        <v>26</v>
      </c>
      <c r="O65" s="5" t="s">
        <v>21</v>
      </c>
      <c r="P65" s="5">
        <v>7.5</v>
      </c>
      <c r="Q65" s="5" t="s">
        <v>25</v>
      </c>
      <c r="R65" s="5">
        <v>6.3</v>
      </c>
      <c r="S65" s="5">
        <f>YEAR(Table1[[#This Row],[Visitor Date]])</f>
        <v>2022</v>
      </c>
      <c r="T65" s="7" t="str">
        <f>TEXT(Table1[[#This Row],[Visitor Date]],"mmm")</f>
        <v>Mar</v>
      </c>
    </row>
    <row r="66" spans="1:20" x14ac:dyDescent="0.3">
      <c r="A66" s="4" t="s">
        <v>26</v>
      </c>
      <c r="B66" s="5">
        <v>26</v>
      </c>
      <c r="C66" s="5" t="s">
        <v>19</v>
      </c>
      <c r="D66" s="5">
        <v>133</v>
      </c>
      <c r="E66" s="6">
        <v>44634</v>
      </c>
      <c r="F66" s="5">
        <v>10</v>
      </c>
      <c r="G66" s="5">
        <v>6.04</v>
      </c>
      <c r="H66" s="5">
        <v>78</v>
      </c>
      <c r="I66" s="5">
        <v>3.1</v>
      </c>
      <c r="J66" s="5">
        <v>48.7</v>
      </c>
      <c r="K66" s="5">
        <v>35</v>
      </c>
      <c r="L66" s="5">
        <v>5.8</v>
      </c>
      <c r="M66" s="5" t="s">
        <v>27</v>
      </c>
      <c r="N66" s="5">
        <v>23.6</v>
      </c>
      <c r="O66" s="5" t="s">
        <v>21</v>
      </c>
      <c r="P66" s="5">
        <v>18.399999999999999</v>
      </c>
      <c r="Q66" s="5" t="s">
        <v>22</v>
      </c>
      <c r="R66" s="5">
        <v>11.6</v>
      </c>
      <c r="S66" s="5">
        <f>YEAR(Table1[[#This Row],[Visitor Date]])</f>
        <v>2022</v>
      </c>
      <c r="T66" s="7" t="str">
        <f>TEXT(Table1[[#This Row],[Visitor Date]],"mmm")</f>
        <v>Mar</v>
      </c>
    </row>
    <row r="67" spans="1:20" x14ac:dyDescent="0.3">
      <c r="A67" s="4" t="s">
        <v>26</v>
      </c>
      <c r="B67" s="5">
        <v>26</v>
      </c>
      <c r="C67" s="5" t="s">
        <v>23</v>
      </c>
      <c r="D67" s="5">
        <v>39</v>
      </c>
      <c r="E67" s="6">
        <v>44635</v>
      </c>
      <c r="F67" s="5">
        <v>15</v>
      </c>
      <c r="G67" s="5">
        <v>7.5</v>
      </c>
      <c r="H67" s="5">
        <v>75</v>
      </c>
      <c r="I67" s="5">
        <v>3.2</v>
      </c>
      <c r="J67" s="5">
        <v>46.2</v>
      </c>
      <c r="K67" s="5">
        <v>30</v>
      </c>
      <c r="L67" s="5">
        <v>5.5</v>
      </c>
      <c r="M67" s="5" t="s">
        <v>27</v>
      </c>
      <c r="N67" s="5">
        <v>22</v>
      </c>
      <c r="O67" s="5" t="s">
        <v>21</v>
      </c>
      <c r="P67" s="5">
        <v>16.7</v>
      </c>
      <c r="Q67" s="5" t="s">
        <v>22</v>
      </c>
      <c r="R67" s="5">
        <v>10.8</v>
      </c>
      <c r="S67" s="5">
        <f>YEAR(Table1[[#This Row],[Visitor Date]])</f>
        <v>2022</v>
      </c>
      <c r="T67" s="7" t="str">
        <f>TEXT(Table1[[#This Row],[Visitor Date]],"mmm")</f>
        <v>Mar</v>
      </c>
    </row>
    <row r="68" spans="1:20" x14ac:dyDescent="0.3">
      <c r="A68" s="4" t="s">
        <v>28</v>
      </c>
      <c r="B68" s="5">
        <v>68</v>
      </c>
      <c r="C68" s="5" t="s">
        <v>19</v>
      </c>
      <c r="D68" s="5">
        <v>60</v>
      </c>
      <c r="E68" s="6">
        <v>44636</v>
      </c>
      <c r="F68" s="5">
        <v>16</v>
      </c>
      <c r="G68" s="5">
        <v>90</v>
      </c>
      <c r="H68" s="5">
        <v>54</v>
      </c>
      <c r="I68" s="5">
        <v>3.5</v>
      </c>
      <c r="J68" s="5">
        <v>67.8</v>
      </c>
      <c r="K68" s="5">
        <v>34</v>
      </c>
      <c r="L68" s="5">
        <v>11</v>
      </c>
      <c r="M68" s="5" t="s">
        <v>20</v>
      </c>
      <c r="N68" s="5">
        <v>5.3</v>
      </c>
      <c r="O68" s="5" t="s">
        <v>29</v>
      </c>
      <c r="P68" s="5">
        <v>20.5</v>
      </c>
      <c r="Q68" s="5" t="s">
        <v>25</v>
      </c>
      <c r="R68" s="5">
        <v>19.5</v>
      </c>
      <c r="S68" s="5">
        <f>YEAR(Table1[[#This Row],[Visitor Date]])</f>
        <v>2022</v>
      </c>
      <c r="T68" s="7" t="str">
        <f>TEXT(Table1[[#This Row],[Visitor Date]],"mmm")</f>
        <v>Mar</v>
      </c>
    </row>
    <row r="69" spans="1:20" x14ac:dyDescent="0.3">
      <c r="A69" s="4" t="s">
        <v>28</v>
      </c>
      <c r="B69" s="5">
        <v>68</v>
      </c>
      <c r="C69" s="5" t="s">
        <v>23</v>
      </c>
      <c r="D69" s="5">
        <v>333</v>
      </c>
      <c r="E69" s="6">
        <v>44637</v>
      </c>
      <c r="F69" s="5">
        <v>12</v>
      </c>
      <c r="G69" s="5">
        <v>88</v>
      </c>
      <c r="H69" s="5">
        <v>50</v>
      </c>
      <c r="I69" s="5">
        <v>3.2</v>
      </c>
      <c r="J69" s="5">
        <v>64</v>
      </c>
      <c r="K69" s="5">
        <v>29</v>
      </c>
      <c r="L69" s="5">
        <v>10.199999999999999</v>
      </c>
      <c r="M69" s="5" t="s">
        <v>20</v>
      </c>
      <c r="N69" s="5">
        <v>4.8</v>
      </c>
      <c r="O69" s="5" t="s">
        <v>29</v>
      </c>
      <c r="P69" s="5">
        <v>19.7</v>
      </c>
      <c r="Q69" s="5" t="s">
        <v>25</v>
      </c>
      <c r="R69" s="5">
        <v>18</v>
      </c>
      <c r="S69" s="5">
        <f>YEAR(Table1[[#This Row],[Visitor Date]])</f>
        <v>2022</v>
      </c>
      <c r="T69" s="7" t="str">
        <f>TEXT(Table1[[#This Row],[Visitor Date]],"mmm")</f>
        <v>Mar</v>
      </c>
    </row>
    <row r="70" spans="1:20" x14ac:dyDescent="0.3">
      <c r="A70" s="4" t="s">
        <v>30</v>
      </c>
      <c r="B70" s="5">
        <v>14</v>
      </c>
      <c r="C70" s="5" t="s">
        <v>19</v>
      </c>
      <c r="D70" s="5">
        <v>6</v>
      </c>
      <c r="E70" s="6">
        <v>44638</v>
      </c>
      <c r="F70" s="5">
        <v>18</v>
      </c>
      <c r="G70" s="5">
        <v>70.63</v>
      </c>
      <c r="H70" s="5">
        <v>41</v>
      </c>
      <c r="I70" s="5">
        <v>4.0999999999999996</v>
      </c>
      <c r="J70" s="5">
        <v>59.4</v>
      </c>
      <c r="K70" s="5">
        <v>95</v>
      </c>
      <c r="L70" s="5">
        <v>15.6</v>
      </c>
      <c r="M70" s="5" t="s">
        <v>27</v>
      </c>
      <c r="N70" s="5">
        <v>23.7</v>
      </c>
      <c r="O70" s="5" t="s">
        <v>31</v>
      </c>
      <c r="P70" s="5">
        <v>15.6</v>
      </c>
      <c r="Q70" s="5" t="s">
        <v>25</v>
      </c>
      <c r="R70" s="5">
        <v>15.1</v>
      </c>
      <c r="S70" s="5">
        <f>YEAR(Table1[[#This Row],[Visitor Date]])</f>
        <v>2022</v>
      </c>
      <c r="T70" s="7" t="str">
        <f>TEXT(Table1[[#This Row],[Visitor Date]],"mmm")</f>
        <v>Mar</v>
      </c>
    </row>
    <row r="71" spans="1:20" x14ac:dyDescent="0.3">
      <c r="A71" s="4" t="s">
        <v>30</v>
      </c>
      <c r="B71" s="5">
        <v>14</v>
      </c>
      <c r="C71" s="5" t="s">
        <v>23</v>
      </c>
      <c r="D71" s="5">
        <v>13</v>
      </c>
      <c r="E71" s="6">
        <v>44639</v>
      </c>
      <c r="F71" s="5">
        <v>9</v>
      </c>
      <c r="G71" s="5">
        <v>65</v>
      </c>
      <c r="H71" s="5">
        <v>25</v>
      </c>
      <c r="I71" s="5">
        <v>3.4</v>
      </c>
      <c r="J71" s="5">
        <v>55</v>
      </c>
      <c r="K71" s="5">
        <v>64</v>
      </c>
      <c r="L71" s="5">
        <v>14</v>
      </c>
      <c r="M71" s="5" t="s">
        <v>27</v>
      </c>
      <c r="N71" s="5">
        <v>21.5</v>
      </c>
      <c r="O71" s="5" t="s">
        <v>31</v>
      </c>
      <c r="P71" s="5">
        <v>13.9</v>
      </c>
      <c r="Q71" s="5" t="s">
        <v>25</v>
      </c>
      <c r="R71" s="5">
        <v>14.2</v>
      </c>
      <c r="S71" s="5">
        <f>YEAR(Table1[[#This Row],[Visitor Date]])</f>
        <v>2022</v>
      </c>
      <c r="T71" s="7" t="str">
        <f>TEXT(Table1[[#This Row],[Visitor Date]],"mmm")</f>
        <v>Mar</v>
      </c>
    </row>
    <row r="72" spans="1:20" x14ac:dyDescent="0.3">
      <c r="A72" s="4" t="s">
        <v>32</v>
      </c>
      <c r="B72" s="5">
        <v>33</v>
      </c>
      <c r="C72" s="5" t="s">
        <v>19</v>
      </c>
      <c r="D72" s="5">
        <v>32</v>
      </c>
      <c r="E72" s="6">
        <v>44640</v>
      </c>
      <c r="F72" s="5">
        <v>19</v>
      </c>
      <c r="G72" s="5">
        <v>65.34</v>
      </c>
      <c r="H72" s="5">
        <v>26</v>
      </c>
      <c r="I72" s="5">
        <v>4.2</v>
      </c>
      <c r="J72" s="5">
        <v>2</v>
      </c>
      <c r="K72" s="5">
        <v>94</v>
      </c>
      <c r="L72" s="5">
        <v>16.2</v>
      </c>
      <c r="M72" s="5" t="s">
        <v>24</v>
      </c>
      <c r="N72" s="5">
        <v>18.899999999999999</v>
      </c>
      <c r="O72" s="5" t="s">
        <v>33</v>
      </c>
      <c r="P72" s="5">
        <v>13.8</v>
      </c>
      <c r="Q72" s="5" t="s">
        <v>34</v>
      </c>
      <c r="R72" s="5">
        <v>10.7</v>
      </c>
      <c r="S72" s="5">
        <f>YEAR(Table1[[#This Row],[Visitor Date]])</f>
        <v>2022</v>
      </c>
      <c r="T72" s="7" t="str">
        <f>TEXT(Table1[[#This Row],[Visitor Date]],"mmm")</f>
        <v>Mar</v>
      </c>
    </row>
    <row r="73" spans="1:20" x14ac:dyDescent="0.3">
      <c r="A73" s="4" t="s">
        <v>32</v>
      </c>
      <c r="B73" s="5">
        <v>33</v>
      </c>
      <c r="C73" s="5" t="s">
        <v>23</v>
      </c>
      <c r="D73" s="5">
        <v>29</v>
      </c>
      <c r="E73" s="6">
        <v>44641</v>
      </c>
      <c r="F73" s="5">
        <v>14</v>
      </c>
      <c r="G73" s="5">
        <v>60.2</v>
      </c>
      <c r="H73" s="5">
        <v>27</v>
      </c>
      <c r="I73" s="5">
        <v>3.9</v>
      </c>
      <c r="J73" s="5">
        <v>50.5</v>
      </c>
      <c r="K73" s="5">
        <v>75</v>
      </c>
      <c r="L73" s="5">
        <v>15</v>
      </c>
      <c r="M73" s="5" t="s">
        <v>24</v>
      </c>
      <c r="N73" s="5">
        <v>17.8</v>
      </c>
      <c r="O73" s="5" t="s">
        <v>33</v>
      </c>
      <c r="P73" s="5">
        <v>12</v>
      </c>
      <c r="Q73" s="5" t="s">
        <v>34</v>
      </c>
      <c r="R73" s="5">
        <v>9.5</v>
      </c>
      <c r="S73" s="5">
        <f>YEAR(Table1[[#This Row],[Visitor Date]])</f>
        <v>2022</v>
      </c>
      <c r="T73" s="7" t="str">
        <f>TEXT(Table1[[#This Row],[Visitor Date]],"mmm")</f>
        <v>Mar</v>
      </c>
    </row>
    <row r="74" spans="1:20" x14ac:dyDescent="0.3">
      <c r="A74" s="4" t="s">
        <v>18</v>
      </c>
      <c r="B74" s="5">
        <v>91</v>
      </c>
      <c r="C74" s="5" t="s">
        <v>19</v>
      </c>
      <c r="D74" s="5">
        <v>156</v>
      </c>
      <c r="E74" s="6">
        <v>44642</v>
      </c>
      <c r="F74" s="5">
        <v>55</v>
      </c>
      <c r="G74" s="5">
        <v>54.88</v>
      </c>
      <c r="H74" s="5">
        <v>77</v>
      </c>
      <c r="I74" s="5">
        <v>4.3</v>
      </c>
      <c r="J74" s="5">
        <v>61.5</v>
      </c>
      <c r="K74" s="5">
        <v>71</v>
      </c>
      <c r="L74" s="5">
        <v>17.100000000000001</v>
      </c>
      <c r="M74" s="5" t="s">
        <v>20</v>
      </c>
      <c r="N74" s="5">
        <v>6.2</v>
      </c>
      <c r="O74" s="5" t="s">
        <v>21</v>
      </c>
      <c r="P74" s="5">
        <v>17.399999999999999</v>
      </c>
      <c r="Q74" s="5" t="s">
        <v>22</v>
      </c>
      <c r="R74" s="5">
        <v>22.2</v>
      </c>
      <c r="S74" s="5">
        <f>YEAR(Table1[[#This Row],[Visitor Date]])</f>
        <v>2022</v>
      </c>
      <c r="T74" s="7" t="str">
        <f>TEXT(Table1[[#This Row],[Visitor Date]],"mmm")</f>
        <v>Mar</v>
      </c>
    </row>
    <row r="75" spans="1:20" x14ac:dyDescent="0.3">
      <c r="A75" s="4" t="s">
        <v>18</v>
      </c>
      <c r="B75" s="5">
        <v>91</v>
      </c>
      <c r="C75" s="5" t="s">
        <v>23</v>
      </c>
      <c r="D75" s="5">
        <v>24</v>
      </c>
      <c r="E75" s="6">
        <v>44643</v>
      </c>
      <c r="F75" s="5">
        <v>28</v>
      </c>
      <c r="G75" s="5">
        <v>56.3</v>
      </c>
      <c r="H75" s="5">
        <v>73</v>
      </c>
      <c r="I75" s="5">
        <v>3.5</v>
      </c>
      <c r="J75" s="5">
        <v>59.2</v>
      </c>
      <c r="K75" s="5">
        <v>55</v>
      </c>
      <c r="L75" s="5">
        <v>16</v>
      </c>
      <c r="M75" s="5" t="s">
        <v>20</v>
      </c>
      <c r="N75" s="5">
        <v>6</v>
      </c>
      <c r="O75" s="5" t="s">
        <v>21</v>
      </c>
      <c r="P75" s="5">
        <v>16.8</v>
      </c>
      <c r="Q75" s="5" t="s">
        <v>22</v>
      </c>
      <c r="R75" s="5">
        <v>21.5</v>
      </c>
      <c r="S75" s="5">
        <f>YEAR(Table1[[#This Row],[Visitor Date]])</f>
        <v>2022</v>
      </c>
      <c r="T75" s="7" t="str">
        <f>TEXT(Table1[[#This Row],[Visitor Date]],"mmm")</f>
        <v>Mar</v>
      </c>
    </row>
    <row r="76" spans="1:20" x14ac:dyDescent="0.3">
      <c r="A76" s="4" t="s">
        <v>24</v>
      </c>
      <c r="B76" s="5">
        <v>44</v>
      </c>
      <c r="C76" s="5" t="s">
        <v>19</v>
      </c>
      <c r="D76" s="5">
        <v>40</v>
      </c>
      <c r="E76" s="6">
        <v>44644</v>
      </c>
      <c r="F76" s="5">
        <v>48</v>
      </c>
      <c r="G76" s="5">
        <v>91.47</v>
      </c>
      <c r="H76" s="5">
        <v>49</v>
      </c>
      <c r="I76" s="5">
        <v>3</v>
      </c>
      <c r="J76" s="5">
        <v>47.8</v>
      </c>
      <c r="K76" s="5">
        <v>33</v>
      </c>
      <c r="L76" s="5">
        <v>18</v>
      </c>
      <c r="M76" s="5" t="s">
        <v>24</v>
      </c>
      <c r="N76" s="5">
        <v>27.5</v>
      </c>
      <c r="O76" s="5" t="s">
        <v>21</v>
      </c>
      <c r="P76" s="5">
        <v>8.1</v>
      </c>
      <c r="Q76" s="5" t="s">
        <v>25</v>
      </c>
      <c r="R76" s="5">
        <v>6.9</v>
      </c>
      <c r="S76" s="5">
        <f>YEAR(Table1[[#This Row],[Visitor Date]])</f>
        <v>2022</v>
      </c>
      <c r="T76" s="7" t="str">
        <f>TEXT(Table1[[#This Row],[Visitor Date]],"mmm")</f>
        <v>Mar</v>
      </c>
    </row>
    <row r="77" spans="1:20" x14ac:dyDescent="0.3">
      <c r="A77" s="4" t="s">
        <v>24</v>
      </c>
      <c r="B77" s="5">
        <v>44</v>
      </c>
      <c r="C77" s="5" t="s">
        <v>23</v>
      </c>
      <c r="D77" s="5">
        <v>37</v>
      </c>
      <c r="E77" s="6">
        <v>44645</v>
      </c>
      <c r="F77" s="5">
        <v>39</v>
      </c>
      <c r="G77" s="5">
        <v>85.3</v>
      </c>
      <c r="H77" s="5">
        <v>35</v>
      </c>
      <c r="I77" s="5">
        <v>2.8</v>
      </c>
      <c r="J77" s="5">
        <v>45</v>
      </c>
      <c r="K77" s="5">
        <v>28</v>
      </c>
      <c r="L77" s="5">
        <v>17.5</v>
      </c>
      <c r="M77" s="5" t="s">
        <v>24</v>
      </c>
      <c r="N77" s="5">
        <v>26</v>
      </c>
      <c r="O77" s="5" t="s">
        <v>21</v>
      </c>
      <c r="P77" s="5">
        <v>7.5</v>
      </c>
      <c r="Q77" s="5" t="s">
        <v>25</v>
      </c>
      <c r="R77" s="5">
        <v>6.3</v>
      </c>
      <c r="S77" s="5">
        <f>YEAR(Table1[[#This Row],[Visitor Date]])</f>
        <v>2022</v>
      </c>
      <c r="T77" s="7" t="str">
        <f>TEXT(Table1[[#This Row],[Visitor Date]],"mmm")</f>
        <v>Mar</v>
      </c>
    </row>
    <row r="78" spans="1:20" x14ac:dyDescent="0.3">
      <c r="A78" s="4" t="s">
        <v>26</v>
      </c>
      <c r="B78" s="5">
        <v>26</v>
      </c>
      <c r="C78" s="5" t="s">
        <v>19</v>
      </c>
      <c r="D78" s="5">
        <v>33</v>
      </c>
      <c r="E78" s="6">
        <v>44646</v>
      </c>
      <c r="F78" s="5">
        <v>10</v>
      </c>
      <c r="G78" s="5">
        <v>6.04</v>
      </c>
      <c r="H78" s="5">
        <v>78</v>
      </c>
      <c r="I78" s="5">
        <v>3.1</v>
      </c>
      <c r="J78" s="5">
        <v>48.7</v>
      </c>
      <c r="K78" s="5">
        <v>35</v>
      </c>
      <c r="L78" s="5">
        <v>5.8</v>
      </c>
      <c r="M78" s="5" t="s">
        <v>27</v>
      </c>
      <c r="N78" s="5">
        <v>23.6</v>
      </c>
      <c r="O78" s="5" t="s">
        <v>21</v>
      </c>
      <c r="P78" s="5">
        <v>18.399999999999999</v>
      </c>
      <c r="Q78" s="5" t="s">
        <v>22</v>
      </c>
      <c r="R78" s="5">
        <v>11.6</v>
      </c>
      <c r="S78" s="5">
        <f>YEAR(Table1[[#This Row],[Visitor Date]])</f>
        <v>2022</v>
      </c>
      <c r="T78" s="7" t="str">
        <f>TEXT(Table1[[#This Row],[Visitor Date]],"mmm")</f>
        <v>Mar</v>
      </c>
    </row>
    <row r="79" spans="1:20" x14ac:dyDescent="0.3">
      <c r="A79" s="4" t="s">
        <v>26</v>
      </c>
      <c r="B79" s="5">
        <v>26</v>
      </c>
      <c r="C79" s="5" t="s">
        <v>23</v>
      </c>
      <c r="D79" s="5">
        <v>139</v>
      </c>
      <c r="E79" s="6">
        <v>44647</v>
      </c>
      <c r="F79" s="5">
        <v>15</v>
      </c>
      <c r="G79" s="5">
        <v>7.5</v>
      </c>
      <c r="H79" s="5">
        <v>75</v>
      </c>
      <c r="I79" s="5">
        <v>3.2</v>
      </c>
      <c r="J79" s="5">
        <v>46.2</v>
      </c>
      <c r="K79" s="5">
        <v>30</v>
      </c>
      <c r="L79" s="5">
        <v>5.5</v>
      </c>
      <c r="M79" s="5" t="s">
        <v>27</v>
      </c>
      <c r="N79" s="5">
        <v>22</v>
      </c>
      <c r="O79" s="5" t="s">
        <v>21</v>
      </c>
      <c r="P79" s="5">
        <v>16.7</v>
      </c>
      <c r="Q79" s="5" t="s">
        <v>22</v>
      </c>
      <c r="R79" s="5">
        <v>10.8</v>
      </c>
      <c r="S79" s="5">
        <f>YEAR(Table1[[#This Row],[Visitor Date]])</f>
        <v>2022</v>
      </c>
      <c r="T79" s="7" t="str">
        <f>TEXT(Table1[[#This Row],[Visitor Date]],"mmm")</f>
        <v>Mar</v>
      </c>
    </row>
    <row r="80" spans="1:20" x14ac:dyDescent="0.3">
      <c r="A80" s="4" t="s">
        <v>28</v>
      </c>
      <c r="B80" s="5">
        <v>68</v>
      </c>
      <c r="C80" s="5" t="s">
        <v>19</v>
      </c>
      <c r="D80" s="5">
        <v>160</v>
      </c>
      <c r="E80" s="6">
        <v>44648</v>
      </c>
      <c r="F80" s="5">
        <v>16</v>
      </c>
      <c r="G80" s="5">
        <v>90</v>
      </c>
      <c r="H80" s="5">
        <v>54</v>
      </c>
      <c r="I80" s="5">
        <v>3.5</v>
      </c>
      <c r="J80" s="5">
        <v>67.8</v>
      </c>
      <c r="K80" s="5">
        <v>34</v>
      </c>
      <c r="L80" s="5">
        <v>11</v>
      </c>
      <c r="M80" s="5" t="s">
        <v>20</v>
      </c>
      <c r="N80" s="5">
        <v>5.3</v>
      </c>
      <c r="O80" s="5" t="s">
        <v>29</v>
      </c>
      <c r="P80" s="5">
        <v>20.5</v>
      </c>
      <c r="Q80" s="5" t="s">
        <v>25</v>
      </c>
      <c r="R80" s="5">
        <v>19.5</v>
      </c>
      <c r="S80" s="5">
        <f>YEAR(Table1[[#This Row],[Visitor Date]])</f>
        <v>2022</v>
      </c>
      <c r="T80" s="7" t="str">
        <f>TEXT(Table1[[#This Row],[Visitor Date]],"mmm")</f>
        <v>Mar</v>
      </c>
    </row>
    <row r="81" spans="1:20" x14ac:dyDescent="0.3">
      <c r="A81" s="4" t="s">
        <v>28</v>
      </c>
      <c r="B81" s="5">
        <v>68</v>
      </c>
      <c r="C81" s="5" t="s">
        <v>23</v>
      </c>
      <c r="D81" s="5">
        <v>3</v>
      </c>
      <c r="E81" s="6">
        <v>44649</v>
      </c>
      <c r="F81" s="5">
        <v>12</v>
      </c>
      <c r="G81" s="5">
        <v>88</v>
      </c>
      <c r="H81" s="5">
        <v>50</v>
      </c>
      <c r="I81" s="5">
        <v>3.2</v>
      </c>
      <c r="J81" s="5">
        <v>4</v>
      </c>
      <c r="K81" s="5">
        <v>29</v>
      </c>
      <c r="L81" s="5">
        <v>10.199999999999999</v>
      </c>
      <c r="M81" s="5" t="s">
        <v>20</v>
      </c>
      <c r="N81" s="5">
        <v>4.8</v>
      </c>
      <c r="O81" s="5" t="s">
        <v>29</v>
      </c>
      <c r="P81" s="5">
        <v>19.7</v>
      </c>
      <c r="Q81" s="5" t="s">
        <v>25</v>
      </c>
      <c r="R81" s="5">
        <v>18</v>
      </c>
      <c r="S81" s="5">
        <f>YEAR(Table1[[#This Row],[Visitor Date]])</f>
        <v>2022</v>
      </c>
      <c r="T81" s="7" t="str">
        <f>TEXT(Table1[[#This Row],[Visitor Date]],"mmm")</f>
        <v>Mar</v>
      </c>
    </row>
    <row r="82" spans="1:20" x14ac:dyDescent="0.3">
      <c r="A82" s="4" t="s">
        <v>30</v>
      </c>
      <c r="B82" s="5">
        <v>14</v>
      </c>
      <c r="C82" s="5" t="s">
        <v>19</v>
      </c>
      <c r="D82" s="5">
        <v>6</v>
      </c>
      <c r="E82" s="6">
        <v>44650</v>
      </c>
      <c r="F82" s="5">
        <v>18</v>
      </c>
      <c r="G82" s="5">
        <v>70.63</v>
      </c>
      <c r="H82" s="5">
        <v>41</v>
      </c>
      <c r="I82" s="5">
        <v>4.0999999999999996</v>
      </c>
      <c r="J82" s="5">
        <v>59.4</v>
      </c>
      <c r="K82" s="5">
        <v>95</v>
      </c>
      <c r="L82" s="5">
        <v>15.6</v>
      </c>
      <c r="M82" s="5" t="s">
        <v>27</v>
      </c>
      <c r="N82" s="5">
        <v>23.7</v>
      </c>
      <c r="O82" s="5" t="s">
        <v>31</v>
      </c>
      <c r="P82" s="5">
        <v>15.6</v>
      </c>
      <c r="Q82" s="5" t="s">
        <v>25</v>
      </c>
      <c r="R82" s="5">
        <v>15.1</v>
      </c>
      <c r="S82" s="5">
        <f>YEAR(Table1[[#This Row],[Visitor Date]])</f>
        <v>2022</v>
      </c>
      <c r="T82" s="7" t="str">
        <f>TEXT(Table1[[#This Row],[Visitor Date]],"mmm")</f>
        <v>Mar</v>
      </c>
    </row>
    <row r="83" spans="1:20" x14ac:dyDescent="0.3">
      <c r="A83" s="4" t="s">
        <v>30</v>
      </c>
      <c r="B83" s="5">
        <v>14</v>
      </c>
      <c r="C83" s="5" t="s">
        <v>23</v>
      </c>
      <c r="D83" s="5">
        <v>3</v>
      </c>
      <c r="E83" s="6">
        <v>44651</v>
      </c>
      <c r="F83" s="5">
        <v>9</v>
      </c>
      <c r="G83" s="5">
        <v>65</v>
      </c>
      <c r="H83" s="5">
        <v>25</v>
      </c>
      <c r="I83" s="5">
        <v>3.4</v>
      </c>
      <c r="J83" s="5">
        <v>55</v>
      </c>
      <c r="K83" s="5">
        <v>64</v>
      </c>
      <c r="L83" s="5">
        <v>14</v>
      </c>
      <c r="M83" s="5" t="s">
        <v>27</v>
      </c>
      <c r="N83" s="5">
        <v>21.5</v>
      </c>
      <c r="O83" s="5" t="s">
        <v>31</v>
      </c>
      <c r="P83" s="5">
        <v>13.9</v>
      </c>
      <c r="Q83" s="5" t="s">
        <v>25</v>
      </c>
      <c r="R83" s="5">
        <v>14.2</v>
      </c>
      <c r="S83" s="5">
        <f>YEAR(Table1[[#This Row],[Visitor Date]])</f>
        <v>2022</v>
      </c>
      <c r="T83" s="7" t="str">
        <f>TEXT(Table1[[#This Row],[Visitor Date]],"mmm")</f>
        <v>Mar</v>
      </c>
    </row>
    <row r="84" spans="1:20" x14ac:dyDescent="0.3">
      <c r="A84" s="4" t="s">
        <v>32</v>
      </c>
      <c r="B84" s="5">
        <v>33</v>
      </c>
      <c r="C84" s="5" t="s">
        <v>19</v>
      </c>
      <c r="D84" s="5">
        <v>32</v>
      </c>
      <c r="E84" s="6">
        <v>44652</v>
      </c>
      <c r="F84" s="5">
        <v>19</v>
      </c>
      <c r="G84" s="5">
        <v>65.34</v>
      </c>
      <c r="H84" s="5">
        <v>26</v>
      </c>
      <c r="I84" s="5">
        <v>4.2</v>
      </c>
      <c r="J84" s="5">
        <v>52.3</v>
      </c>
      <c r="K84" s="5">
        <v>94</v>
      </c>
      <c r="L84" s="5">
        <v>16.2</v>
      </c>
      <c r="M84" s="5" t="s">
        <v>24</v>
      </c>
      <c r="N84" s="5">
        <v>18.899999999999999</v>
      </c>
      <c r="O84" s="5" t="s">
        <v>33</v>
      </c>
      <c r="P84" s="5">
        <v>13.8</v>
      </c>
      <c r="Q84" s="5" t="s">
        <v>34</v>
      </c>
      <c r="R84" s="5">
        <v>10.7</v>
      </c>
      <c r="S84" s="5">
        <f>YEAR(Table1[[#This Row],[Visitor Date]])</f>
        <v>2022</v>
      </c>
      <c r="T84" s="7" t="str">
        <f>TEXT(Table1[[#This Row],[Visitor Date]],"mmm")</f>
        <v>Apr</v>
      </c>
    </row>
    <row r="85" spans="1:20" x14ac:dyDescent="0.3">
      <c r="A85" s="4" t="s">
        <v>32</v>
      </c>
      <c r="B85" s="5">
        <v>33</v>
      </c>
      <c r="C85" s="5" t="s">
        <v>23</v>
      </c>
      <c r="D85" s="5">
        <v>129</v>
      </c>
      <c r="E85" s="6">
        <v>44653</v>
      </c>
      <c r="F85" s="5">
        <v>14</v>
      </c>
      <c r="G85" s="5">
        <v>60.2</v>
      </c>
      <c r="H85" s="5">
        <v>27</v>
      </c>
      <c r="I85" s="5">
        <v>3.9</v>
      </c>
      <c r="J85" s="5">
        <v>50.5</v>
      </c>
      <c r="K85" s="5">
        <v>75</v>
      </c>
      <c r="L85" s="5">
        <v>15</v>
      </c>
      <c r="M85" s="5" t="s">
        <v>24</v>
      </c>
      <c r="N85" s="5">
        <v>17.8</v>
      </c>
      <c r="O85" s="5" t="s">
        <v>33</v>
      </c>
      <c r="P85" s="5">
        <v>12</v>
      </c>
      <c r="Q85" s="5" t="s">
        <v>34</v>
      </c>
      <c r="R85" s="5">
        <v>9.5</v>
      </c>
      <c r="S85" s="5">
        <f>YEAR(Table1[[#This Row],[Visitor Date]])</f>
        <v>2022</v>
      </c>
      <c r="T85" s="7" t="str">
        <f>TEXT(Table1[[#This Row],[Visitor Date]],"mmm")</f>
        <v>Apr</v>
      </c>
    </row>
    <row r="86" spans="1:20" x14ac:dyDescent="0.3">
      <c r="A86" s="4" t="s">
        <v>18</v>
      </c>
      <c r="B86" s="5">
        <v>91</v>
      </c>
      <c r="C86" s="5" t="s">
        <v>19</v>
      </c>
      <c r="D86" s="5">
        <v>58</v>
      </c>
      <c r="E86" s="6">
        <v>44654</v>
      </c>
      <c r="F86" s="5">
        <v>54</v>
      </c>
      <c r="G86" s="5">
        <v>55.5</v>
      </c>
      <c r="H86" s="5">
        <v>77</v>
      </c>
      <c r="I86" s="5">
        <v>4.0999999999999996</v>
      </c>
      <c r="J86" s="5">
        <v>60</v>
      </c>
      <c r="K86" s="5">
        <v>72</v>
      </c>
      <c r="L86" s="5">
        <v>17.3</v>
      </c>
      <c r="M86" s="5" t="s">
        <v>20</v>
      </c>
      <c r="N86" s="5">
        <v>6.5</v>
      </c>
      <c r="O86" s="5" t="s">
        <v>21</v>
      </c>
      <c r="P86" s="5">
        <v>18.2</v>
      </c>
      <c r="Q86" s="5" t="s">
        <v>22</v>
      </c>
      <c r="R86" s="5">
        <v>23</v>
      </c>
      <c r="S86" s="5">
        <f>YEAR(Table1[[#This Row],[Visitor Date]])</f>
        <v>2022</v>
      </c>
      <c r="T86" s="7" t="str">
        <f>TEXT(Table1[[#This Row],[Visitor Date]],"mmm")</f>
        <v>Apr</v>
      </c>
    </row>
    <row r="87" spans="1:20" x14ac:dyDescent="0.3">
      <c r="A87" s="4" t="s">
        <v>18</v>
      </c>
      <c r="B87" s="5">
        <v>91</v>
      </c>
      <c r="C87" s="5" t="s">
        <v>23</v>
      </c>
      <c r="D87" s="5">
        <v>22</v>
      </c>
      <c r="E87" s="6">
        <v>44655</v>
      </c>
      <c r="F87" s="5">
        <v>26</v>
      </c>
      <c r="G87" s="5">
        <v>58</v>
      </c>
      <c r="H87" s="5">
        <v>70</v>
      </c>
      <c r="I87" s="5">
        <v>3.8</v>
      </c>
      <c r="J87" s="5">
        <v>58</v>
      </c>
      <c r="K87" s="5">
        <v>54</v>
      </c>
      <c r="L87" s="5">
        <v>15.5</v>
      </c>
      <c r="M87" s="5" t="s">
        <v>20</v>
      </c>
      <c r="N87" s="5">
        <v>5.8</v>
      </c>
      <c r="O87" s="5" t="s">
        <v>21</v>
      </c>
      <c r="P87" s="5">
        <v>15</v>
      </c>
      <c r="Q87" s="5" t="s">
        <v>22</v>
      </c>
      <c r="R87" s="5">
        <v>20</v>
      </c>
      <c r="S87" s="5">
        <f>YEAR(Table1[[#This Row],[Visitor Date]])</f>
        <v>2022</v>
      </c>
      <c r="T87" s="7" t="str">
        <f>TEXT(Table1[[#This Row],[Visitor Date]],"mmm")</f>
        <v>Apr</v>
      </c>
    </row>
    <row r="88" spans="1:20" x14ac:dyDescent="0.3">
      <c r="A88" s="4" t="s">
        <v>24</v>
      </c>
      <c r="B88" s="5">
        <v>44</v>
      </c>
      <c r="C88" s="5" t="s">
        <v>19</v>
      </c>
      <c r="D88" s="5">
        <v>45</v>
      </c>
      <c r="E88" s="6">
        <v>44656</v>
      </c>
      <c r="F88" s="5">
        <v>49</v>
      </c>
      <c r="G88" s="5">
        <v>90</v>
      </c>
      <c r="H88" s="5">
        <v>45</v>
      </c>
      <c r="I88" s="5">
        <v>3.1</v>
      </c>
      <c r="J88" s="5">
        <v>48.5</v>
      </c>
      <c r="K88" s="5">
        <v>33</v>
      </c>
      <c r="L88" s="5">
        <v>18.5</v>
      </c>
      <c r="M88" s="5" t="s">
        <v>24</v>
      </c>
      <c r="N88" s="5">
        <v>25</v>
      </c>
      <c r="O88" s="5" t="s">
        <v>21</v>
      </c>
      <c r="P88" s="5">
        <v>9</v>
      </c>
      <c r="Q88" s="5" t="s">
        <v>25</v>
      </c>
      <c r="R88" s="5">
        <v>7.5</v>
      </c>
      <c r="S88" s="5">
        <f>YEAR(Table1[[#This Row],[Visitor Date]])</f>
        <v>2022</v>
      </c>
      <c r="T88" s="7" t="str">
        <f>TEXT(Table1[[#This Row],[Visitor Date]],"mmm")</f>
        <v>Apr</v>
      </c>
    </row>
    <row r="89" spans="1:20" x14ac:dyDescent="0.3">
      <c r="A89" s="4" t="s">
        <v>24</v>
      </c>
      <c r="B89" s="5">
        <v>44</v>
      </c>
      <c r="C89" s="5" t="s">
        <v>23</v>
      </c>
      <c r="D89" s="5">
        <v>134</v>
      </c>
      <c r="E89" s="6">
        <v>44657</v>
      </c>
      <c r="F89" s="5">
        <v>37</v>
      </c>
      <c r="G89" s="5">
        <v>87</v>
      </c>
      <c r="H89" s="5">
        <v>40</v>
      </c>
      <c r="I89" s="5">
        <v>2.9</v>
      </c>
      <c r="J89" s="5">
        <v>46</v>
      </c>
      <c r="K89" s="5">
        <v>27</v>
      </c>
      <c r="L89" s="5">
        <v>16.5</v>
      </c>
      <c r="M89" s="5" t="s">
        <v>24</v>
      </c>
      <c r="N89" s="5">
        <v>24</v>
      </c>
      <c r="O89" s="5" t="s">
        <v>21</v>
      </c>
      <c r="P89" s="5">
        <v>8</v>
      </c>
      <c r="Q89" s="5" t="s">
        <v>25</v>
      </c>
      <c r="R89" s="5">
        <v>6.5</v>
      </c>
      <c r="S89" s="5">
        <f>YEAR(Table1[[#This Row],[Visitor Date]])</f>
        <v>2022</v>
      </c>
      <c r="T89" s="7" t="str">
        <f>TEXT(Table1[[#This Row],[Visitor Date]],"mmm")</f>
        <v>Apr</v>
      </c>
    </row>
    <row r="90" spans="1:20" x14ac:dyDescent="0.3">
      <c r="A90" s="4" t="s">
        <v>26</v>
      </c>
      <c r="B90" s="5">
        <v>26</v>
      </c>
      <c r="C90" s="5" t="s">
        <v>19</v>
      </c>
      <c r="D90" s="5">
        <v>37</v>
      </c>
      <c r="E90" s="6">
        <v>44658</v>
      </c>
      <c r="F90" s="5">
        <v>8</v>
      </c>
      <c r="G90" s="5">
        <v>5</v>
      </c>
      <c r="H90" s="5">
        <v>76</v>
      </c>
      <c r="I90" s="5">
        <v>3</v>
      </c>
      <c r="J90" s="5">
        <v>47</v>
      </c>
      <c r="K90" s="5">
        <v>37</v>
      </c>
      <c r="L90" s="5">
        <v>6</v>
      </c>
      <c r="M90" s="5" t="s">
        <v>27</v>
      </c>
      <c r="N90" s="5">
        <v>20</v>
      </c>
      <c r="O90" s="5" t="s">
        <v>21</v>
      </c>
      <c r="P90" s="5">
        <v>16</v>
      </c>
      <c r="Q90" s="5" t="s">
        <v>22</v>
      </c>
      <c r="R90" s="5">
        <v>12</v>
      </c>
      <c r="S90" s="5">
        <f>YEAR(Table1[[#This Row],[Visitor Date]])</f>
        <v>2022</v>
      </c>
      <c r="T90" s="7" t="str">
        <f>TEXT(Table1[[#This Row],[Visitor Date]],"mmm")</f>
        <v>Apr</v>
      </c>
    </row>
    <row r="91" spans="1:20" x14ac:dyDescent="0.3">
      <c r="A91" s="4" t="s">
        <v>26</v>
      </c>
      <c r="B91" s="5">
        <v>26</v>
      </c>
      <c r="C91" s="5" t="s">
        <v>23</v>
      </c>
      <c r="D91" s="5">
        <v>29</v>
      </c>
      <c r="E91" s="6">
        <v>44659</v>
      </c>
      <c r="F91" s="5">
        <v>10</v>
      </c>
      <c r="G91" s="5">
        <v>7</v>
      </c>
      <c r="H91" s="5">
        <v>74</v>
      </c>
      <c r="I91" s="5">
        <v>3.2</v>
      </c>
      <c r="J91" s="5">
        <v>44</v>
      </c>
      <c r="K91" s="5">
        <v>31</v>
      </c>
      <c r="L91" s="5">
        <v>5.5</v>
      </c>
      <c r="M91" s="5" t="s">
        <v>27</v>
      </c>
      <c r="N91" s="5">
        <v>19</v>
      </c>
      <c r="O91" s="5" t="s">
        <v>21</v>
      </c>
      <c r="P91" s="5">
        <v>15</v>
      </c>
      <c r="Q91" s="5" t="s">
        <v>22</v>
      </c>
      <c r="R91" s="5">
        <v>11.5</v>
      </c>
      <c r="S91" s="5">
        <f>YEAR(Table1[[#This Row],[Visitor Date]])</f>
        <v>2022</v>
      </c>
      <c r="T91" s="7" t="str">
        <f>TEXT(Table1[[#This Row],[Visitor Date]],"mmm")</f>
        <v>Apr</v>
      </c>
    </row>
    <row r="92" spans="1:20" x14ac:dyDescent="0.3">
      <c r="A92" s="4" t="s">
        <v>28</v>
      </c>
      <c r="B92" s="5">
        <v>68</v>
      </c>
      <c r="C92" s="5" t="s">
        <v>19</v>
      </c>
      <c r="D92" s="5">
        <v>61</v>
      </c>
      <c r="E92" s="6">
        <v>44660</v>
      </c>
      <c r="F92" s="5">
        <v>14</v>
      </c>
      <c r="G92" s="5">
        <v>91.5</v>
      </c>
      <c r="H92" s="5">
        <v>55</v>
      </c>
      <c r="I92" s="5">
        <v>3.6</v>
      </c>
      <c r="J92" s="5">
        <v>68</v>
      </c>
      <c r="K92" s="5">
        <v>35</v>
      </c>
      <c r="L92" s="5">
        <v>12</v>
      </c>
      <c r="M92" s="5" t="s">
        <v>20</v>
      </c>
      <c r="N92" s="5">
        <v>5</v>
      </c>
      <c r="O92" s="5" t="s">
        <v>29</v>
      </c>
      <c r="P92" s="5">
        <v>18</v>
      </c>
      <c r="Q92" s="5" t="s">
        <v>25</v>
      </c>
      <c r="R92" s="5">
        <v>19</v>
      </c>
      <c r="S92" s="5">
        <f>YEAR(Table1[[#This Row],[Visitor Date]])</f>
        <v>2022</v>
      </c>
      <c r="T92" s="7" t="str">
        <f>TEXT(Table1[[#This Row],[Visitor Date]],"mmm")</f>
        <v>Apr</v>
      </c>
    </row>
    <row r="93" spans="1:20" x14ac:dyDescent="0.3">
      <c r="A93" s="4" t="s">
        <v>28</v>
      </c>
      <c r="B93" s="5">
        <v>68</v>
      </c>
      <c r="C93" s="5" t="s">
        <v>23</v>
      </c>
      <c r="D93" s="5">
        <v>130</v>
      </c>
      <c r="E93" s="6">
        <v>44661</v>
      </c>
      <c r="F93" s="5">
        <v>11</v>
      </c>
      <c r="G93" s="5">
        <v>89</v>
      </c>
      <c r="H93" s="5">
        <v>53</v>
      </c>
      <c r="I93" s="5">
        <v>3</v>
      </c>
      <c r="J93" s="5">
        <v>65</v>
      </c>
      <c r="K93" s="5">
        <v>28</v>
      </c>
      <c r="L93" s="5">
        <v>10</v>
      </c>
      <c r="M93" s="5" t="s">
        <v>20</v>
      </c>
      <c r="N93" s="5">
        <v>4.5</v>
      </c>
      <c r="O93" s="5" t="s">
        <v>29</v>
      </c>
      <c r="P93" s="5">
        <v>16</v>
      </c>
      <c r="Q93" s="5" t="s">
        <v>25</v>
      </c>
      <c r="R93" s="5">
        <v>17</v>
      </c>
      <c r="S93" s="5">
        <f>YEAR(Table1[[#This Row],[Visitor Date]])</f>
        <v>2022</v>
      </c>
      <c r="T93" s="7" t="str">
        <f>TEXT(Table1[[#This Row],[Visitor Date]],"mmm")</f>
        <v>Apr</v>
      </c>
    </row>
    <row r="94" spans="1:20" x14ac:dyDescent="0.3">
      <c r="A94" s="4" t="s">
        <v>30</v>
      </c>
      <c r="B94" s="5">
        <v>14</v>
      </c>
      <c r="C94" s="5" t="s">
        <v>19</v>
      </c>
      <c r="D94" s="5">
        <v>8</v>
      </c>
      <c r="E94" s="6">
        <v>44662</v>
      </c>
      <c r="F94" s="5">
        <v>17</v>
      </c>
      <c r="G94" s="5">
        <v>72</v>
      </c>
      <c r="H94" s="5">
        <v>42</v>
      </c>
      <c r="I94" s="5">
        <v>4.2</v>
      </c>
      <c r="J94" s="5">
        <v>0</v>
      </c>
      <c r="K94" s="5">
        <v>96</v>
      </c>
      <c r="L94" s="5">
        <v>14.5</v>
      </c>
      <c r="M94" s="5" t="s">
        <v>27</v>
      </c>
      <c r="N94" s="5">
        <v>21</v>
      </c>
      <c r="O94" s="5" t="s">
        <v>31</v>
      </c>
      <c r="P94" s="5">
        <v>16</v>
      </c>
      <c r="Q94" s="5" t="s">
        <v>25</v>
      </c>
      <c r="R94" s="5">
        <v>15.5</v>
      </c>
      <c r="S94" s="5">
        <f>YEAR(Table1[[#This Row],[Visitor Date]])</f>
        <v>2022</v>
      </c>
      <c r="T94" s="7" t="str">
        <f>TEXT(Table1[[#This Row],[Visitor Date]],"mmm")</f>
        <v>Apr</v>
      </c>
    </row>
    <row r="95" spans="1:20" x14ac:dyDescent="0.3">
      <c r="A95" s="4" t="s">
        <v>30</v>
      </c>
      <c r="B95" s="5">
        <v>14</v>
      </c>
      <c r="C95" s="5" t="s">
        <v>23</v>
      </c>
      <c r="D95" s="5">
        <v>115</v>
      </c>
      <c r="E95" s="6">
        <v>44663</v>
      </c>
      <c r="F95" s="5">
        <v>8</v>
      </c>
      <c r="G95" s="5">
        <v>67</v>
      </c>
      <c r="H95" s="5">
        <v>27</v>
      </c>
      <c r="I95" s="5">
        <v>3.7</v>
      </c>
      <c r="J95" s="5">
        <v>56</v>
      </c>
      <c r="K95" s="5">
        <v>62</v>
      </c>
      <c r="L95" s="5">
        <v>12.5</v>
      </c>
      <c r="M95" s="5" t="s">
        <v>27</v>
      </c>
      <c r="N95" s="5">
        <v>20.5</v>
      </c>
      <c r="O95" s="5" t="s">
        <v>31</v>
      </c>
      <c r="P95" s="5">
        <v>14</v>
      </c>
      <c r="Q95" s="5" t="s">
        <v>25</v>
      </c>
      <c r="R95" s="5">
        <v>13.5</v>
      </c>
      <c r="S95" s="5">
        <f>YEAR(Table1[[#This Row],[Visitor Date]])</f>
        <v>2022</v>
      </c>
      <c r="T95" s="7" t="str">
        <f>TEXT(Table1[[#This Row],[Visitor Date]],"mmm")</f>
        <v>Apr</v>
      </c>
    </row>
    <row r="96" spans="1:20" x14ac:dyDescent="0.3">
      <c r="A96" s="4" t="s">
        <v>32</v>
      </c>
      <c r="B96" s="5">
        <v>33</v>
      </c>
      <c r="C96" s="5" t="s">
        <v>19</v>
      </c>
      <c r="D96" s="5">
        <v>133</v>
      </c>
      <c r="E96" s="6">
        <v>44664</v>
      </c>
      <c r="F96" s="5">
        <v>20</v>
      </c>
      <c r="G96" s="5">
        <v>63</v>
      </c>
      <c r="H96" s="5">
        <v>28</v>
      </c>
      <c r="I96" s="5">
        <v>4.3</v>
      </c>
      <c r="J96" s="5">
        <v>53</v>
      </c>
      <c r="K96" s="5">
        <v>96</v>
      </c>
      <c r="L96" s="5">
        <v>15</v>
      </c>
      <c r="M96" s="5" t="s">
        <v>24</v>
      </c>
      <c r="N96" s="5">
        <v>19</v>
      </c>
      <c r="O96" s="5" t="s">
        <v>33</v>
      </c>
      <c r="P96" s="5">
        <v>14</v>
      </c>
      <c r="Q96" s="5" t="s">
        <v>34</v>
      </c>
      <c r="R96" s="5">
        <v>11</v>
      </c>
      <c r="S96" s="5">
        <f>YEAR(Table1[[#This Row],[Visitor Date]])</f>
        <v>2022</v>
      </c>
      <c r="T96" s="7" t="str">
        <f>TEXT(Table1[[#This Row],[Visitor Date]],"mmm")</f>
        <v>Apr</v>
      </c>
    </row>
    <row r="97" spans="1:20" x14ac:dyDescent="0.3">
      <c r="A97" s="4" t="s">
        <v>32</v>
      </c>
      <c r="B97" s="5">
        <v>33</v>
      </c>
      <c r="C97" s="5" t="s">
        <v>23</v>
      </c>
      <c r="D97" s="5">
        <v>26</v>
      </c>
      <c r="E97" s="6">
        <v>44665</v>
      </c>
      <c r="F97" s="5">
        <v>15</v>
      </c>
      <c r="G97" s="5">
        <v>59</v>
      </c>
      <c r="H97" s="5">
        <v>29</v>
      </c>
      <c r="I97" s="5">
        <v>3.9</v>
      </c>
      <c r="J97" s="5">
        <v>51</v>
      </c>
      <c r="K97" s="5">
        <v>80</v>
      </c>
      <c r="L97" s="5">
        <v>14</v>
      </c>
      <c r="M97" s="5" t="s">
        <v>24</v>
      </c>
      <c r="N97" s="5">
        <v>18</v>
      </c>
      <c r="O97" s="5" t="s">
        <v>33</v>
      </c>
      <c r="P97" s="5">
        <v>13</v>
      </c>
      <c r="Q97" s="5" t="s">
        <v>34</v>
      </c>
      <c r="R97" s="5">
        <v>10</v>
      </c>
      <c r="S97" s="5">
        <f>YEAR(Table1[[#This Row],[Visitor Date]])</f>
        <v>2022</v>
      </c>
      <c r="T97" s="7" t="str">
        <f>TEXT(Table1[[#This Row],[Visitor Date]],"mmm")</f>
        <v>Apr</v>
      </c>
    </row>
    <row r="98" spans="1:20" x14ac:dyDescent="0.3">
      <c r="A98" s="4" t="s">
        <v>18</v>
      </c>
      <c r="B98" s="5">
        <v>91</v>
      </c>
      <c r="C98" s="5" t="s">
        <v>19</v>
      </c>
      <c r="D98" s="5">
        <v>54</v>
      </c>
      <c r="E98" s="6">
        <v>44666</v>
      </c>
      <c r="F98" s="5">
        <v>52</v>
      </c>
      <c r="G98" s="5">
        <v>54</v>
      </c>
      <c r="H98" s="5">
        <v>77</v>
      </c>
      <c r="I98" s="5">
        <v>4.4000000000000004</v>
      </c>
      <c r="J98" s="5">
        <v>59</v>
      </c>
      <c r="K98" s="5">
        <v>73</v>
      </c>
      <c r="L98" s="5">
        <v>16</v>
      </c>
      <c r="M98" s="5" t="s">
        <v>20</v>
      </c>
      <c r="N98" s="5">
        <v>7</v>
      </c>
      <c r="O98" s="5" t="s">
        <v>21</v>
      </c>
      <c r="P98" s="5">
        <v>15</v>
      </c>
      <c r="Q98" s="5" t="s">
        <v>22</v>
      </c>
      <c r="R98" s="5">
        <v>22</v>
      </c>
      <c r="S98" s="5">
        <f>YEAR(Table1[[#This Row],[Visitor Date]])</f>
        <v>2022</v>
      </c>
      <c r="T98" s="7" t="str">
        <f>TEXT(Table1[[#This Row],[Visitor Date]],"mmm")</f>
        <v>Apr</v>
      </c>
    </row>
    <row r="99" spans="1:20" x14ac:dyDescent="0.3">
      <c r="A99" s="4" t="s">
        <v>18</v>
      </c>
      <c r="B99" s="5">
        <v>91</v>
      </c>
      <c r="C99" s="5" t="s">
        <v>23</v>
      </c>
      <c r="D99" s="5">
        <v>2</v>
      </c>
      <c r="E99" s="6">
        <v>44667</v>
      </c>
      <c r="F99" s="5">
        <v>27</v>
      </c>
      <c r="G99" s="5">
        <v>56</v>
      </c>
      <c r="H99" s="5">
        <v>70</v>
      </c>
      <c r="I99" s="5">
        <v>3.8</v>
      </c>
      <c r="J99" s="5">
        <v>58</v>
      </c>
      <c r="K99" s="5">
        <v>58</v>
      </c>
      <c r="L99" s="5">
        <v>14</v>
      </c>
      <c r="M99" s="5" t="s">
        <v>20</v>
      </c>
      <c r="N99" s="5">
        <v>6</v>
      </c>
      <c r="O99" s="5" t="s">
        <v>21</v>
      </c>
      <c r="P99" s="5">
        <v>14</v>
      </c>
      <c r="Q99" s="5" t="s">
        <v>22</v>
      </c>
      <c r="R99" s="5">
        <v>21</v>
      </c>
      <c r="S99" s="5">
        <f>YEAR(Table1[[#This Row],[Visitor Date]])</f>
        <v>2022</v>
      </c>
      <c r="T99" s="7" t="str">
        <f>TEXT(Table1[[#This Row],[Visitor Date]],"mmm")</f>
        <v>Apr</v>
      </c>
    </row>
    <row r="100" spans="1:20" x14ac:dyDescent="0.3">
      <c r="A100" s="4" t="s">
        <v>24</v>
      </c>
      <c r="B100" s="5">
        <v>44</v>
      </c>
      <c r="C100" s="5" t="s">
        <v>19</v>
      </c>
      <c r="D100" s="5">
        <v>42</v>
      </c>
      <c r="E100" s="6">
        <v>44668</v>
      </c>
      <c r="F100" s="5">
        <v>45</v>
      </c>
      <c r="G100" s="5">
        <v>89</v>
      </c>
      <c r="H100" s="5">
        <v>45</v>
      </c>
      <c r="I100" s="5">
        <v>3.2</v>
      </c>
      <c r="J100" s="5">
        <v>45</v>
      </c>
      <c r="K100" s="5">
        <v>31</v>
      </c>
      <c r="L100" s="5">
        <v>17</v>
      </c>
      <c r="M100" s="5" t="s">
        <v>24</v>
      </c>
      <c r="N100" s="5">
        <v>26</v>
      </c>
      <c r="O100" s="5" t="s">
        <v>21</v>
      </c>
      <c r="P100" s="5">
        <v>7</v>
      </c>
      <c r="Q100" s="5" t="s">
        <v>25</v>
      </c>
      <c r="R100" s="5">
        <v>7</v>
      </c>
      <c r="S100" s="5">
        <f>YEAR(Table1[[#This Row],[Visitor Date]])</f>
        <v>2022</v>
      </c>
      <c r="T100" s="7" t="str">
        <f>TEXT(Table1[[#This Row],[Visitor Date]],"mmm")</f>
        <v>Apr</v>
      </c>
    </row>
    <row r="101" spans="1:20" x14ac:dyDescent="0.3">
      <c r="A101" s="4" t="s">
        <v>24</v>
      </c>
      <c r="B101" s="5">
        <v>44</v>
      </c>
      <c r="C101" s="5" t="s">
        <v>23</v>
      </c>
      <c r="D101" s="5">
        <v>39</v>
      </c>
      <c r="E101" s="6">
        <v>44669</v>
      </c>
      <c r="F101" s="5">
        <v>38</v>
      </c>
      <c r="G101" s="5">
        <v>85</v>
      </c>
      <c r="H101" s="5">
        <v>35</v>
      </c>
      <c r="I101" s="5">
        <v>2.8</v>
      </c>
      <c r="J101" s="5">
        <v>44</v>
      </c>
      <c r="K101" s="5">
        <v>27</v>
      </c>
      <c r="L101" s="5">
        <v>16</v>
      </c>
      <c r="M101" s="5" t="s">
        <v>24</v>
      </c>
      <c r="N101" s="5">
        <v>25</v>
      </c>
      <c r="O101" s="5" t="s">
        <v>21</v>
      </c>
      <c r="P101" s="5">
        <v>6.5</v>
      </c>
      <c r="Q101" s="5" t="s">
        <v>25</v>
      </c>
      <c r="R101" s="5">
        <v>6.5</v>
      </c>
      <c r="S101" s="5">
        <f>YEAR(Table1[[#This Row],[Visitor Date]])</f>
        <v>2022</v>
      </c>
      <c r="T101" s="7" t="str">
        <f>TEXT(Table1[[#This Row],[Visitor Date]],"mmm")</f>
        <v>Apr</v>
      </c>
    </row>
    <row r="102" spans="1:20" x14ac:dyDescent="0.3">
      <c r="A102" s="4" t="s">
        <v>26</v>
      </c>
      <c r="B102" s="5">
        <v>26</v>
      </c>
      <c r="C102" s="5" t="s">
        <v>19</v>
      </c>
      <c r="D102" s="5">
        <v>34</v>
      </c>
      <c r="E102" s="6">
        <v>44670</v>
      </c>
      <c r="F102" s="5">
        <v>9</v>
      </c>
      <c r="G102" s="5">
        <v>5.5</v>
      </c>
      <c r="H102" s="5">
        <v>76</v>
      </c>
      <c r="I102" s="5">
        <v>3.5</v>
      </c>
      <c r="J102" s="5">
        <v>48</v>
      </c>
      <c r="K102" s="5">
        <v>33</v>
      </c>
      <c r="L102" s="5">
        <v>6.5</v>
      </c>
      <c r="M102" s="5" t="s">
        <v>27</v>
      </c>
      <c r="N102" s="5">
        <v>22</v>
      </c>
      <c r="O102" s="5" t="s">
        <v>21</v>
      </c>
      <c r="P102" s="5">
        <v>15</v>
      </c>
      <c r="Q102" s="5" t="s">
        <v>22</v>
      </c>
      <c r="R102" s="5">
        <v>12</v>
      </c>
      <c r="S102" s="5">
        <f>YEAR(Table1[[#This Row],[Visitor Date]])</f>
        <v>2022</v>
      </c>
      <c r="T102" s="7" t="str">
        <f>TEXT(Table1[[#This Row],[Visitor Date]],"mmm")</f>
        <v>Apr</v>
      </c>
    </row>
    <row r="103" spans="1:20" x14ac:dyDescent="0.3">
      <c r="A103" s="4" t="s">
        <v>26</v>
      </c>
      <c r="B103" s="5">
        <v>26</v>
      </c>
      <c r="C103" s="5" t="s">
        <v>23</v>
      </c>
      <c r="D103" s="5">
        <v>128</v>
      </c>
      <c r="E103" s="6">
        <v>44671</v>
      </c>
      <c r="F103" s="5">
        <v>12</v>
      </c>
      <c r="G103" s="5">
        <v>6</v>
      </c>
      <c r="H103" s="5">
        <v>75</v>
      </c>
      <c r="I103" s="5">
        <v>3.1</v>
      </c>
      <c r="J103" s="5">
        <v>45</v>
      </c>
      <c r="K103" s="5">
        <v>28</v>
      </c>
      <c r="L103" s="5">
        <v>5</v>
      </c>
      <c r="M103" s="5" t="s">
        <v>27</v>
      </c>
      <c r="N103" s="5">
        <v>21</v>
      </c>
      <c r="O103" s="5" t="s">
        <v>21</v>
      </c>
      <c r="P103" s="5">
        <v>14</v>
      </c>
      <c r="Q103" s="5" t="s">
        <v>22</v>
      </c>
      <c r="R103" s="5">
        <v>11</v>
      </c>
      <c r="S103" s="5">
        <f>YEAR(Table1[[#This Row],[Visitor Date]])</f>
        <v>2022</v>
      </c>
      <c r="T103" s="7" t="str">
        <f>TEXT(Table1[[#This Row],[Visitor Date]],"mmm")</f>
        <v>Apr</v>
      </c>
    </row>
    <row r="104" spans="1:20" x14ac:dyDescent="0.3">
      <c r="A104" s="4" t="s">
        <v>18</v>
      </c>
      <c r="B104" s="5">
        <v>91</v>
      </c>
      <c r="C104" s="5" t="s">
        <v>19</v>
      </c>
      <c r="D104" s="5">
        <v>56</v>
      </c>
      <c r="E104" s="6">
        <v>44672</v>
      </c>
      <c r="F104" s="5">
        <v>55</v>
      </c>
      <c r="G104" s="5">
        <v>54.88</v>
      </c>
      <c r="H104" s="5">
        <v>77</v>
      </c>
      <c r="I104" s="5">
        <v>4.3</v>
      </c>
      <c r="J104" s="5">
        <v>1.5</v>
      </c>
      <c r="K104" s="5">
        <v>71</v>
      </c>
      <c r="L104" s="5">
        <v>17.100000000000001</v>
      </c>
      <c r="M104" s="5" t="s">
        <v>20</v>
      </c>
      <c r="N104" s="5">
        <v>6.2</v>
      </c>
      <c r="O104" s="5" t="s">
        <v>21</v>
      </c>
      <c r="P104" s="5">
        <v>17.399999999999999</v>
      </c>
      <c r="Q104" s="5" t="s">
        <v>22</v>
      </c>
      <c r="R104" s="5">
        <v>22.2</v>
      </c>
      <c r="S104" s="5">
        <f>YEAR(Table1[[#This Row],[Visitor Date]])</f>
        <v>2022</v>
      </c>
      <c r="T104" s="7" t="str">
        <f>TEXT(Table1[[#This Row],[Visitor Date]],"mmm")</f>
        <v>Apr</v>
      </c>
    </row>
    <row r="105" spans="1:20" x14ac:dyDescent="0.3">
      <c r="A105" s="4" t="s">
        <v>18</v>
      </c>
      <c r="B105" s="5">
        <v>91</v>
      </c>
      <c r="C105" s="5" t="s">
        <v>23</v>
      </c>
      <c r="D105" s="5">
        <v>24</v>
      </c>
      <c r="E105" s="6">
        <v>44673</v>
      </c>
      <c r="F105" s="5">
        <v>28</v>
      </c>
      <c r="G105" s="5">
        <v>56.3</v>
      </c>
      <c r="H105" s="5">
        <v>73</v>
      </c>
      <c r="I105" s="5">
        <v>3.5</v>
      </c>
      <c r="J105" s="5">
        <v>59.2</v>
      </c>
      <c r="K105" s="5">
        <v>55</v>
      </c>
      <c r="L105" s="5">
        <v>16</v>
      </c>
      <c r="M105" s="5" t="s">
        <v>20</v>
      </c>
      <c r="N105" s="5">
        <v>6</v>
      </c>
      <c r="O105" s="5" t="s">
        <v>21</v>
      </c>
      <c r="P105" s="5">
        <v>16.8</v>
      </c>
      <c r="Q105" s="5" t="s">
        <v>22</v>
      </c>
      <c r="R105" s="5">
        <v>21.5</v>
      </c>
      <c r="S105" s="5">
        <f>YEAR(Table1[[#This Row],[Visitor Date]])</f>
        <v>2022</v>
      </c>
      <c r="T105" s="7" t="str">
        <f>TEXT(Table1[[#This Row],[Visitor Date]],"mmm")</f>
        <v>Apr</v>
      </c>
    </row>
    <row r="106" spans="1:20" x14ac:dyDescent="0.3">
      <c r="A106" s="4" t="s">
        <v>18</v>
      </c>
      <c r="B106" s="5">
        <v>91</v>
      </c>
      <c r="C106" s="5" t="s">
        <v>35</v>
      </c>
      <c r="D106" s="5">
        <v>8</v>
      </c>
      <c r="E106" s="6">
        <v>44674</v>
      </c>
      <c r="F106" s="5">
        <v>20</v>
      </c>
      <c r="G106" s="5">
        <v>58</v>
      </c>
      <c r="H106" s="5">
        <v>65</v>
      </c>
      <c r="I106" s="5">
        <v>3.9</v>
      </c>
      <c r="J106" s="5">
        <v>57.5</v>
      </c>
      <c r="K106" s="5">
        <v>49</v>
      </c>
      <c r="L106" s="5">
        <v>15.5</v>
      </c>
      <c r="M106" s="5" t="s">
        <v>20</v>
      </c>
      <c r="N106" s="5">
        <v>5.5</v>
      </c>
      <c r="O106" s="5" t="s">
        <v>21</v>
      </c>
      <c r="P106" s="5">
        <v>15.2</v>
      </c>
      <c r="Q106" s="5" t="s">
        <v>34</v>
      </c>
      <c r="R106" s="5">
        <v>20</v>
      </c>
      <c r="S106" s="5">
        <f>YEAR(Table1[[#This Row],[Visitor Date]])</f>
        <v>2022</v>
      </c>
      <c r="T106" s="7" t="str">
        <f>TEXT(Table1[[#This Row],[Visitor Date]],"mmm")</f>
        <v>Apr</v>
      </c>
    </row>
    <row r="107" spans="1:20" x14ac:dyDescent="0.3">
      <c r="A107" s="4" t="s">
        <v>24</v>
      </c>
      <c r="B107" s="5">
        <v>44</v>
      </c>
      <c r="C107" s="5" t="s">
        <v>19</v>
      </c>
      <c r="D107" s="5">
        <v>40</v>
      </c>
      <c r="E107" s="6">
        <v>44675</v>
      </c>
      <c r="F107" s="5">
        <v>48</v>
      </c>
      <c r="G107" s="5">
        <v>91.47</v>
      </c>
      <c r="H107" s="5">
        <v>49</v>
      </c>
      <c r="I107" s="5">
        <v>3</v>
      </c>
      <c r="J107" s="5">
        <v>47.8</v>
      </c>
      <c r="K107" s="5">
        <v>33</v>
      </c>
      <c r="L107" s="5">
        <v>18</v>
      </c>
      <c r="M107" s="5" t="s">
        <v>24</v>
      </c>
      <c r="N107" s="5">
        <v>27.5</v>
      </c>
      <c r="O107" s="5" t="s">
        <v>21</v>
      </c>
      <c r="P107" s="5">
        <v>8.1</v>
      </c>
      <c r="Q107" s="5" t="s">
        <v>25</v>
      </c>
      <c r="R107" s="5">
        <v>6.9</v>
      </c>
      <c r="S107" s="5">
        <f>YEAR(Table1[[#This Row],[Visitor Date]])</f>
        <v>2022</v>
      </c>
      <c r="T107" s="7" t="str">
        <f>TEXT(Table1[[#This Row],[Visitor Date]],"mmm")</f>
        <v>Apr</v>
      </c>
    </row>
    <row r="108" spans="1:20" x14ac:dyDescent="0.3">
      <c r="A108" s="4" t="s">
        <v>24</v>
      </c>
      <c r="B108" s="5">
        <v>44</v>
      </c>
      <c r="C108" s="5" t="s">
        <v>23</v>
      </c>
      <c r="D108" s="5">
        <v>37</v>
      </c>
      <c r="E108" s="6">
        <v>44676</v>
      </c>
      <c r="F108" s="5">
        <v>39</v>
      </c>
      <c r="G108" s="5">
        <v>85.3</v>
      </c>
      <c r="H108" s="5">
        <v>35</v>
      </c>
      <c r="I108" s="5">
        <v>2.8</v>
      </c>
      <c r="J108" s="5">
        <v>5</v>
      </c>
      <c r="K108" s="5">
        <v>28</v>
      </c>
      <c r="L108" s="5">
        <v>17.5</v>
      </c>
      <c r="M108" s="5" t="s">
        <v>24</v>
      </c>
      <c r="N108" s="5">
        <v>26</v>
      </c>
      <c r="O108" s="5" t="s">
        <v>21</v>
      </c>
      <c r="P108" s="5">
        <v>7.5</v>
      </c>
      <c r="Q108" s="5" t="s">
        <v>25</v>
      </c>
      <c r="R108" s="5">
        <v>6.3</v>
      </c>
      <c r="S108" s="5">
        <f>YEAR(Table1[[#This Row],[Visitor Date]])</f>
        <v>2022</v>
      </c>
      <c r="T108" s="7" t="str">
        <f>TEXT(Table1[[#This Row],[Visitor Date]],"mmm")</f>
        <v>Apr</v>
      </c>
    </row>
    <row r="109" spans="1:20" x14ac:dyDescent="0.3">
      <c r="A109" s="4" t="s">
        <v>24</v>
      </c>
      <c r="B109" s="5">
        <v>44</v>
      </c>
      <c r="C109" s="5" t="s">
        <v>35</v>
      </c>
      <c r="D109" s="5">
        <v>29</v>
      </c>
      <c r="E109" s="6">
        <v>44677</v>
      </c>
      <c r="F109" s="5">
        <v>30</v>
      </c>
      <c r="G109" s="5">
        <v>87</v>
      </c>
      <c r="H109" s="5">
        <v>30</v>
      </c>
      <c r="I109" s="5">
        <v>3.2</v>
      </c>
      <c r="J109" s="5">
        <v>46.5</v>
      </c>
      <c r="K109" s="5">
        <v>93</v>
      </c>
      <c r="L109" s="5">
        <v>14</v>
      </c>
      <c r="M109" s="5" t="s">
        <v>24</v>
      </c>
      <c r="N109" s="5">
        <v>24</v>
      </c>
      <c r="O109" s="5" t="s">
        <v>21</v>
      </c>
      <c r="P109" s="5">
        <v>6.8</v>
      </c>
      <c r="Q109" s="5" t="s">
        <v>25</v>
      </c>
      <c r="R109" s="5">
        <v>6.1</v>
      </c>
      <c r="S109" s="5">
        <f>YEAR(Table1[[#This Row],[Visitor Date]])</f>
        <v>2022</v>
      </c>
      <c r="T109" s="7" t="str">
        <f>TEXT(Table1[[#This Row],[Visitor Date]],"mmm")</f>
        <v>Apr</v>
      </c>
    </row>
    <row r="110" spans="1:20" x14ac:dyDescent="0.3">
      <c r="A110" s="4" t="s">
        <v>26</v>
      </c>
      <c r="B110" s="5">
        <v>26</v>
      </c>
      <c r="C110" s="5" t="s">
        <v>19</v>
      </c>
      <c r="D110" s="5">
        <v>33</v>
      </c>
      <c r="E110" s="6">
        <v>44678</v>
      </c>
      <c r="F110" s="5">
        <v>10</v>
      </c>
      <c r="G110" s="5">
        <v>6.04</v>
      </c>
      <c r="H110" s="5">
        <v>78</v>
      </c>
      <c r="I110" s="5">
        <v>3.1</v>
      </c>
      <c r="J110" s="5">
        <v>48.7</v>
      </c>
      <c r="K110" s="5">
        <v>35</v>
      </c>
      <c r="L110" s="5">
        <v>5.8</v>
      </c>
      <c r="M110" s="5" t="s">
        <v>27</v>
      </c>
      <c r="N110" s="5">
        <v>23.6</v>
      </c>
      <c r="O110" s="5" t="s">
        <v>21</v>
      </c>
      <c r="P110" s="5">
        <v>18.399999999999999</v>
      </c>
      <c r="Q110" s="5" t="s">
        <v>22</v>
      </c>
      <c r="R110" s="5">
        <v>11.6</v>
      </c>
      <c r="S110" s="5">
        <f>YEAR(Table1[[#This Row],[Visitor Date]])</f>
        <v>2022</v>
      </c>
      <c r="T110" s="7" t="str">
        <f>TEXT(Table1[[#This Row],[Visitor Date]],"mmm")</f>
        <v>Apr</v>
      </c>
    </row>
    <row r="111" spans="1:20" x14ac:dyDescent="0.3">
      <c r="A111" s="4" t="s">
        <v>26</v>
      </c>
      <c r="B111" s="5">
        <v>26</v>
      </c>
      <c r="C111" s="5" t="s">
        <v>23</v>
      </c>
      <c r="D111" s="5">
        <v>39</v>
      </c>
      <c r="E111" s="6">
        <v>44679</v>
      </c>
      <c r="F111" s="5">
        <v>15</v>
      </c>
      <c r="G111" s="5">
        <v>7.5</v>
      </c>
      <c r="H111" s="5">
        <v>75</v>
      </c>
      <c r="I111" s="5">
        <v>3.2</v>
      </c>
      <c r="J111" s="5">
        <v>46.2</v>
      </c>
      <c r="K111" s="5">
        <v>30</v>
      </c>
      <c r="L111" s="5">
        <v>5.5</v>
      </c>
      <c r="M111" s="5" t="s">
        <v>27</v>
      </c>
      <c r="N111" s="5">
        <v>22</v>
      </c>
      <c r="O111" s="5" t="s">
        <v>21</v>
      </c>
      <c r="P111" s="5">
        <v>16.7</v>
      </c>
      <c r="Q111" s="5" t="s">
        <v>22</v>
      </c>
      <c r="R111" s="5">
        <v>10.8</v>
      </c>
      <c r="S111" s="5">
        <f>YEAR(Table1[[#This Row],[Visitor Date]])</f>
        <v>2022</v>
      </c>
      <c r="T111" s="7" t="str">
        <f>TEXT(Table1[[#This Row],[Visitor Date]],"mmm")</f>
        <v>Apr</v>
      </c>
    </row>
    <row r="112" spans="1:20" x14ac:dyDescent="0.3">
      <c r="A112" s="4" t="s">
        <v>26</v>
      </c>
      <c r="B112" s="5">
        <v>26</v>
      </c>
      <c r="C112" s="5" t="s">
        <v>35</v>
      </c>
      <c r="D112" s="5">
        <v>20</v>
      </c>
      <c r="E112" s="6">
        <v>44680</v>
      </c>
      <c r="F112" s="5">
        <v>12</v>
      </c>
      <c r="G112" s="5">
        <v>8</v>
      </c>
      <c r="H112" s="5">
        <v>70</v>
      </c>
      <c r="I112" s="5">
        <v>3.1</v>
      </c>
      <c r="J112" s="5">
        <v>44</v>
      </c>
      <c r="K112" s="5">
        <v>65</v>
      </c>
      <c r="L112" s="5">
        <v>4</v>
      </c>
      <c r="M112" s="5" t="s">
        <v>27</v>
      </c>
      <c r="N112" s="5">
        <v>20</v>
      </c>
      <c r="O112" s="5" t="s">
        <v>21</v>
      </c>
      <c r="P112" s="5">
        <v>14</v>
      </c>
      <c r="Q112" s="5" t="s">
        <v>22</v>
      </c>
      <c r="R112" s="5">
        <v>9.5</v>
      </c>
      <c r="S112" s="5">
        <f>YEAR(Table1[[#This Row],[Visitor Date]])</f>
        <v>2022</v>
      </c>
      <c r="T112" s="7" t="str">
        <f>TEXT(Table1[[#This Row],[Visitor Date]],"mmm")</f>
        <v>Apr</v>
      </c>
    </row>
    <row r="113" spans="1:20" x14ac:dyDescent="0.3">
      <c r="A113" s="4" t="s">
        <v>28</v>
      </c>
      <c r="B113" s="5">
        <v>68</v>
      </c>
      <c r="C113" s="5" t="s">
        <v>19</v>
      </c>
      <c r="D113" s="5">
        <v>60</v>
      </c>
      <c r="E113" s="6">
        <v>44681</v>
      </c>
      <c r="F113" s="5">
        <v>16</v>
      </c>
      <c r="G113" s="5">
        <v>90</v>
      </c>
      <c r="H113" s="5">
        <v>54</v>
      </c>
      <c r="I113" s="5">
        <v>3.5</v>
      </c>
      <c r="J113" s="5">
        <v>7.8</v>
      </c>
      <c r="K113" s="5">
        <v>34</v>
      </c>
      <c r="L113" s="5">
        <v>11</v>
      </c>
      <c r="M113" s="5" t="s">
        <v>20</v>
      </c>
      <c r="N113" s="5">
        <v>5.3</v>
      </c>
      <c r="O113" s="5" t="s">
        <v>29</v>
      </c>
      <c r="P113" s="5">
        <v>20.5</v>
      </c>
      <c r="Q113" s="5" t="s">
        <v>25</v>
      </c>
      <c r="R113" s="5">
        <v>19.5</v>
      </c>
      <c r="S113" s="5">
        <f>YEAR(Table1[[#This Row],[Visitor Date]])</f>
        <v>2022</v>
      </c>
      <c r="T113" s="7" t="str">
        <f>TEXT(Table1[[#This Row],[Visitor Date]],"mmm")</f>
        <v>Apr</v>
      </c>
    </row>
    <row r="114" spans="1:20" x14ac:dyDescent="0.3">
      <c r="A114" s="4" t="s">
        <v>28</v>
      </c>
      <c r="B114" s="5">
        <v>68</v>
      </c>
      <c r="C114" s="5" t="s">
        <v>23</v>
      </c>
      <c r="D114" s="5">
        <v>3</v>
      </c>
      <c r="E114" s="6">
        <v>44682</v>
      </c>
      <c r="F114" s="5">
        <v>12</v>
      </c>
      <c r="G114" s="5">
        <v>88</v>
      </c>
      <c r="H114" s="5">
        <v>50</v>
      </c>
      <c r="I114" s="5">
        <v>3.2</v>
      </c>
      <c r="J114" s="5">
        <v>6</v>
      </c>
      <c r="K114" s="5">
        <v>29</v>
      </c>
      <c r="L114" s="5">
        <v>10.199999999999999</v>
      </c>
      <c r="M114" s="5" t="s">
        <v>20</v>
      </c>
      <c r="N114" s="5">
        <v>4.8</v>
      </c>
      <c r="O114" s="5" t="s">
        <v>29</v>
      </c>
      <c r="P114" s="5">
        <v>19.7</v>
      </c>
      <c r="Q114" s="5" t="s">
        <v>25</v>
      </c>
      <c r="R114" s="5">
        <v>18</v>
      </c>
      <c r="S114" s="5">
        <f>YEAR(Table1[[#This Row],[Visitor Date]])</f>
        <v>2022</v>
      </c>
      <c r="T114" s="7" t="str">
        <f>TEXT(Table1[[#This Row],[Visitor Date]],"mmm")</f>
        <v>May</v>
      </c>
    </row>
    <row r="115" spans="1:20" x14ac:dyDescent="0.3">
      <c r="A115" s="4" t="s">
        <v>28</v>
      </c>
      <c r="B115" s="5">
        <v>68</v>
      </c>
      <c r="C115" s="5" t="s">
        <v>35</v>
      </c>
      <c r="D115" s="5">
        <v>5</v>
      </c>
      <c r="E115" s="6">
        <v>44683</v>
      </c>
      <c r="F115" s="5">
        <v>10</v>
      </c>
      <c r="G115" s="5">
        <v>89</v>
      </c>
      <c r="H115" s="5">
        <v>45</v>
      </c>
      <c r="I115" s="5">
        <v>3</v>
      </c>
      <c r="J115" s="5">
        <v>6</v>
      </c>
      <c r="K115" s="5">
        <v>60</v>
      </c>
      <c r="L115" s="5">
        <v>9.5</v>
      </c>
      <c r="M115" s="5" t="s">
        <v>20</v>
      </c>
      <c r="N115" s="5">
        <v>4</v>
      </c>
      <c r="O115" s="5" t="s">
        <v>29</v>
      </c>
      <c r="P115" s="5">
        <v>18</v>
      </c>
      <c r="Q115" s="5" t="s">
        <v>25</v>
      </c>
      <c r="R115" s="5">
        <v>16</v>
      </c>
      <c r="S115" s="5">
        <f>YEAR(Table1[[#This Row],[Visitor Date]])</f>
        <v>2022</v>
      </c>
      <c r="T115" s="7" t="str">
        <f>TEXT(Table1[[#This Row],[Visitor Date]],"mmm")</f>
        <v>May</v>
      </c>
    </row>
    <row r="116" spans="1:20" x14ac:dyDescent="0.3">
      <c r="A116" s="4" t="s">
        <v>30</v>
      </c>
      <c r="B116" s="5">
        <v>14</v>
      </c>
      <c r="C116" s="5" t="s">
        <v>19</v>
      </c>
      <c r="D116" s="5">
        <v>6</v>
      </c>
      <c r="E116" s="6">
        <v>44684</v>
      </c>
      <c r="F116" s="5">
        <v>18</v>
      </c>
      <c r="G116" s="5">
        <v>70.63</v>
      </c>
      <c r="H116" s="5">
        <v>41</v>
      </c>
      <c r="I116" s="5">
        <v>4.0999999999999996</v>
      </c>
      <c r="J116" s="5">
        <v>59.4</v>
      </c>
      <c r="K116" s="5">
        <v>95</v>
      </c>
      <c r="L116" s="5">
        <v>15.6</v>
      </c>
      <c r="M116" s="5" t="s">
        <v>27</v>
      </c>
      <c r="N116" s="5">
        <v>23.7</v>
      </c>
      <c r="O116" s="5" t="s">
        <v>31</v>
      </c>
      <c r="P116" s="5">
        <v>15.6</v>
      </c>
      <c r="Q116" s="5" t="s">
        <v>25</v>
      </c>
      <c r="R116" s="5">
        <v>15.1</v>
      </c>
      <c r="S116" s="5">
        <f>YEAR(Table1[[#This Row],[Visitor Date]])</f>
        <v>2022</v>
      </c>
      <c r="T116" s="7" t="str">
        <f>TEXT(Table1[[#This Row],[Visitor Date]],"mmm")</f>
        <v>May</v>
      </c>
    </row>
    <row r="117" spans="1:20" x14ac:dyDescent="0.3">
      <c r="A117" s="4" t="s">
        <v>30</v>
      </c>
      <c r="B117" s="5">
        <v>14</v>
      </c>
      <c r="C117" s="5" t="s">
        <v>23</v>
      </c>
      <c r="D117" s="5">
        <v>113</v>
      </c>
      <c r="E117" s="6">
        <v>44685</v>
      </c>
      <c r="F117" s="5">
        <v>9</v>
      </c>
      <c r="G117" s="5">
        <v>65</v>
      </c>
      <c r="H117" s="5">
        <v>25</v>
      </c>
      <c r="I117" s="5">
        <v>3.4</v>
      </c>
      <c r="J117" s="5">
        <v>55</v>
      </c>
      <c r="K117" s="5">
        <v>64</v>
      </c>
      <c r="L117" s="5">
        <v>14</v>
      </c>
      <c r="M117" s="5" t="s">
        <v>27</v>
      </c>
      <c r="N117" s="5">
        <v>21.5</v>
      </c>
      <c r="O117" s="5" t="s">
        <v>31</v>
      </c>
      <c r="P117" s="5">
        <v>13.9</v>
      </c>
      <c r="Q117" s="5" t="s">
        <v>25</v>
      </c>
      <c r="R117" s="5">
        <v>14.2</v>
      </c>
      <c r="S117" s="5">
        <f>YEAR(Table1[[#This Row],[Visitor Date]])</f>
        <v>2022</v>
      </c>
      <c r="T117" s="7" t="str">
        <f>TEXT(Table1[[#This Row],[Visitor Date]],"mmm")</f>
        <v>May</v>
      </c>
    </row>
    <row r="118" spans="1:20" x14ac:dyDescent="0.3">
      <c r="A118" s="4" t="s">
        <v>30</v>
      </c>
      <c r="B118" s="5">
        <v>14</v>
      </c>
      <c r="C118" s="5" t="s">
        <v>35</v>
      </c>
      <c r="D118" s="5">
        <v>0</v>
      </c>
      <c r="E118" s="6">
        <v>44686</v>
      </c>
      <c r="F118" s="5">
        <v>7</v>
      </c>
      <c r="G118" s="5">
        <v>64</v>
      </c>
      <c r="H118" s="5">
        <v>26</v>
      </c>
      <c r="I118" s="5">
        <v>3.5</v>
      </c>
      <c r="J118" s="5">
        <v>53</v>
      </c>
      <c r="K118" s="5">
        <v>54</v>
      </c>
      <c r="L118" s="5">
        <v>12</v>
      </c>
      <c r="M118" s="5" t="s">
        <v>27</v>
      </c>
      <c r="N118" s="5">
        <v>20</v>
      </c>
      <c r="O118" s="5" t="s">
        <v>31</v>
      </c>
      <c r="P118" s="5">
        <v>12.5</v>
      </c>
      <c r="Q118" s="5" t="s">
        <v>25</v>
      </c>
      <c r="R118" s="5">
        <v>12</v>
      </c>
      <c r="S118" s="5">
        <f>YEAR(Table1[[#This Row],[Visitor Date]])</f>
        <v>2022</v>
      </c>
      <c r="T118" s="7" t="str">
        <f>TEXT(Table1[[#This Row],[Visitor Date]],"mmm")</f>
        <v>May</v>
      </c>
    </row>
    <row r="119" spans="1:20" x14ac:dyDescent="0.3">
      <c r="A119" s="4" t="s">
        <v>32</v>
      </c>
      <c r="B119" s="5">
        <v>33</v>
      </c>
      <c r="C119" s="5" t="s">
        <v>19</v>
      </c>
      <c r="D119" s="5">
        <v>32</v>
      </c>
      <c r="E119" s="6">
        <v>44687</v>
      </c>
      <c r="F119" s="5">
        <v>19</v>
      </c>
      <c r="G119" s="5">
        <v>65.34</v>
      </c>
      <c r="H119" s="5">
        <v>27</v>
      </c>
      <c r="I119" s="5">
        <v>4.2</v>
      </c>
      <c r="J119" s="5">
        <v>52.3</v>
      </c>
      <c r="K119" s="5">
        <v>94</v>
      </c>
      <c r="L119" s="5">
        <v>16.2</v>
      </c>
      <c r="M119" s="5" t="s">
        <v>24</v>
      </c>
      <c r="N119" s="5">
        <v>18.899999999999999</v>
      </c>
      <c r="O119" s="5" t="s">
        <v>33</v>
      </c>
      <c r="P119" s="5">
        <v>13.8</v>
      </c>
      <c r="Q119" s="5" t="s">
        <v>34</v>
      </c>
      <c r="R119" s="5">
        <v>10.7</v>
      </c>
      <c r="S119" s="5">
        <f>YEAR(Table1[[#This Row],[Visitor Date]])</f>
        <v>2022</v>
      </c>
      <c r="T119" s="7" t="str">
        <f>TEXT(Table1[[#This Row],[Visitor Date]],"mmm")</f>
        <v>May</v>
      </c>
    </row>
    <row r="120" spans="1:20" x14ac:dyDescent="0.3">
      <c r="A120" s="4" t="s">
        <v>32</v>
      </c>
      <c r="B120" s="5">
        <v>33</v>
      </c>
      <c r="C120" s="5" t="s">
        <v>23</v>
      </c>
      <c r="D120" s="5">
        <v>29</v>
      </c>
      <c r="E120" s="6">
        <v>44688</v>
      </c>
      <c r="F120" s="5">
        <v>14</v>
      </c>
      <c r="G120" s="5">
        <v>60.2</v>
      </c>
      <c r="H120" s="5">
        <v>28</v>
      </c>
      <c r="I120" s="5">
        <v>3.9</v>
      </c>
      <c r="J120" s="5">
        <v>50.5</v>
      </c>
      <c r="K120" s="5">
        <v>75</v>
      </c>
      <c r="L120" s="5">
        <v>15</v>
      </c>
      <c r="M120" s="5" t="s">
        <v>24</v>
      </c>
      <c r="N120" s="5">
        <v>17.8</v>
      </c>
      <c r="O120" s="5" t="s">
        <v>33</v>
      </c>
      <c r="P120" s="5">
        <v>12</v>
      </c>
      <c r="Q120" s="5" t="s">
        <v>34</v>
      </c>
      <c r="R120" s="5">
        <v>9.5</v>
      </c>
      <c r="S120" s="5">
        <f>YEAR(Table1[[#This Row],[Visitor Date]])</f>
        <v>2022</v>
      </c>
      <c r="T120" s="7" t="str">
        <f>TEXT(Table1[[#This Row],[Visitor Date]],"mmm")</f>
        <v>May</v>
      </c>
    </row>
    <row r="121" spans="1:20" x14ac:dyDescent="0.3">
      <c r="A121" s="4" t="s">
        <v>32</v>
      </c>
      <c r="B121" s="5">
        <v>33</v>
      </c>
      <c r="C121" s="5" t="s">
        <v>35</v>
      </c>
      <c r="D121" s="5">
        <v>2</v>
      </c>
      <c r="E121" s="6">
        <v>44689</v>
      </c>
      <c r="F121" s="5">
        <v>10</v>
      </c>
      <c r="G121" s="5">
        <v>58</v>
      </c>
      <c r="H121" s="5">
        <v>29</v>
      </c>
      <c r="I121" s="5">
        <v>3.6</v>
      </c>
      <c r="J121" s="5">
        <v>48</v>
      </c>
      <c r="K121" s="5">
        <v>51</v>
      </c>
      <c r="L121" s="5">
        <v>13</v>
      </c>
      <c r="M121" s="5" t="s">
        <v>24</v>
      </c>
      <c r="N121" s="5">
        <v>16</v>
      </c>
      <c r="O121" s="5" t="s">
        <v>33</v>
      </c>
      <c r="P121" s="5">
        <v>11</v>
      </c>
      <c r="Q121" s="5" t="s">
        <v>34</v>
      </c>
      <c r="R121" s="5">
        <v>8</v>
      </c>
      <c r="S121" s="5">
        <f>YEAR(Table1[[#This Row],[Visitor Date]])</f>
        <v>2022</v>
      </c>
      <c r="T121" s="7" t="str">
        <f>TEXT(Table1[[#This Row],[Visitor Date]],"mmm")</f>
        <v>May</v>
      </c>
    </row>
    <row r="122" spans="1:20" x14ac:dyDescent="0.3">
      <c r="A122" s="4" t="s">
        <v>18</v>
      </c>
      <c r="B122" s="5">
        <v>91</v>
      </c>
      <c r="C122" s="5" t="s">
        <v>19</v>
      </c>
      <c r="D122" s="5">
        <v>58</v>
      </c>
      <c r="E122" s="6">
        <v>44690</v>
      </c>
      <c r="F122" s="5">
        <v>54</v>
      </c>
      <c r="G122" s="5">
        <v>55.5</v>
      </c>
      <c r="H122" s="5">
        <v>77</v>
      </c>
      <c r="I122" s="5">
        <v>4.0999999999999996</v>
      </c>
      <c r="J122" s="5">
        <v>0</v>
      </c>
      <c r="K122" s="5">
        <v>72</v>
      </c>
      <c r="L122" s="5">
        <v>17.3</v>
      </c>
      <c r="M122" s="5" t="s">
        <v>20</v>
      </c>
      <c r="N122" s="5">
        <v>6.5</v>
      </c>
      <c r="O122" s="5" t="s">
        <v>21</v>
      </c>
      <c r="P122" s="5">
        <v>18.2</v>
      </c>
      <c r="Q122" s="5" t="s">
        <v>22</v>
      </c>
      <c r="R122" s="5">
        <v>23</v>
      </c>
      <c r="S122" s="5">
        <f>YEAR(Table1[[#This Row],[Visitor Date]])</f>
        <v>2022</v>
      </c>
      <c r="T122" s="7" t="str">
        <f>TEXT(Table1[[#This Row],[Visitor Date]],"mmm")</f>
        <v>May</v>
      </c>
    </row>
    <row r="123" spans="1:20" x14ac:dyDescent="0.3">
      <c r="A123" s="4" t="s">
        <v>18</v>
      </c>
      <c r="B123" s="5">
        <v>91</v>
      </c>
      <c r="C123" s="5" t="s">
        <v>23</v>
      </c>
      <c r="D123" s="5">
        <v>122</v>
      </c>
      <c r="E123" s="6">
        <v>44691</v>
      </c>
      <c r="F123" s="5">
        <v>26</v>
      </c>
      <c r="G123" s="5">
        <v>58</v>
      </c>
      <c r="H123" s="5">
        <v>70</v>
      </c>
      <c r="I123" s="5">
        <v>3.8</v>
      </c>
      <c r="J123" s="5">
        <v>58</v>
      </c>
      <c r="K123" s="5">
        <v>54</v>
      </c>
      <c r="L123" s="5">
        <v>15.5</v>
      </c>
      <c r="M123" s="5" t="s">
        <v>20</v>
      </c>
      <c r="N123" s="5">
        <v>5.8</v>
      </c>
      <c r="O123" s="5" t="s">
        <v>21</v>
      </c>
      <c r="P123" s="5">
        <v>15</v>
      </c>
      <c r="Q123" s="5" t="s">
        <v>22</v>
      </c>
      <c r="R123" s="5">
        <v>20</v>
      </c>
      <c r="S123" s="5">
        <f>YEAR(Table1[[#This Row],[Visitor Date]])</f>
        <v>2022</v>
      </c>
      <c r="T123" s="7" t="str">
        <f>TEXT(Table1[[#This Row],[Visitor Date]],"mmm")</f>
        <v>May</v>
      </c>
    </row>
    <row r="124" spans="1:20" x14ac:dyDescent="0.3">
      <c r="A124" s="4" t="s">
        <v>24</v>
      </c>
      <c r="B124" s="5">
        <v>44</v>
      </c>
      <c r="C124" s="5" t="s">
        <v>19</v>
      </c>
      <c r="D124" s="5">
        <v>45</v>
      </c>
      <c r="E124" s="6">
        <v>44692</v>
      </c>
      <c r="F124" s="5">
        <v>49</v>
      </c>
      <c r="G124" s="5">
        <v>90</v>
      </c>
      <c r="H124" s="5">
        <v>45</v>
      </c>
      <c r="I124" s="5">
        <v>3.1</v>
      </c>
      <c r="J124" s="5">
        <v>48.5</v>
      </c>
      <c r="K124" s="5">
        <v>33</v>
      </c>
      <c r="L124" s="5">
        <v>18.5</v>
      </c>
      <c r="M124" s="5" t="s">
        <v>24</v>
      </c>
      <c r="N124" s="5">
        <v>25</v>
      </c>
      <c r="O124" s="5" t="s">
        <v>21</v>
      </c>
      <c r="P124" s="5">
        <v>9</v>
      </c>
      <c r="Q124" s="5" t="s">
        <v>25</v>
      </c>
      <c r="R124" s="5">
        <v>7.5</v>
      </c>
      <c r="S124" s="5">
        <f>YEAR(Table1[[#This Row],[Visitor Date]])</f>
        <v>2022</v>
      </c>
      <c r="T124" s="7" t="str">
        <f>TEXT(Table1[[#This Row],[Visitor Date]],"mmm")</f>
        <v>May</v>
      </c>
    </row>
    <row r="125" spans="1:20" x14ac:dyDescent="0.3">
      <c r="A125" s="4" t="s">
        <v>24</v>
      </c>
      <c r="B125" s="5">
        <v>44</v>
      </c>
      <c r="C125" s="5" t="s">
        <v>23</v>
      </c>
      <c r="D125" s="5">
        <v>34</v>
      </c>
      <c r="E125" s="6">
        <v>44693</v>
      </c>
      <c r="F125" s="5">
        <v>37</v>
      </c>
      <c r="G125" s="5">
        <v>87</v>
      </c>
      <c r="H125" s="5">
        <v>40</v>
      </c>
      <c r="I125" s="5">
        <v>2.9</v>
      </c>
      <c r="J125" s="5">
        <v>44</v>
      </c>
      <c r="K125" s="5">
        <v>27</v>
      </c>
      <c r="L125" s="5">
        <v>16.5</v>
      </c>
      <c r="M125" s="5" t="s">
        <v>24</v>
      </c>
      <c r="N125" s="5">
        <v>24</v>
      </c>
      <c r="O125" s="5" t="s">
        <v>21</v>
      </c>
      <c r="P125" s="5">
        <v>8</v>
      </c>
      <c r="Q125" s="5" t="s">
        <v>25</v>
      </c>
      <c r="R125" s="5">
        <v>6.5</v>
      </c>
      <c r="S125" s="5">
        <f>YEAR(Table1[[#This Row],[Visitor Date]])</f>
        <v>2022</v>
      </c>
      <c r="T125" s="7" t="str">
        <f>TEXT(Table1[[#This Row],[Visitor Date]],"mmm")</f>
        <v>May</v>
      </c>
    </row>
    <row r="126" spans="1:20" x14ac:dyDescent="0.3">
      <c r="A126" s="4" t="s">
        <v>24</v>
      </c>
      <c r="B126" s="5">
        <v>44</v>
      </c>
      <c r="C126" s="5" t="s">
        <v>35</v>
      </c>
      <c r="D126" s="5">
        <v>2</v>
      </c>
      <c r="E126" s="6">
        <v>44694</v>
      </c>
      <c r="F126" s="5">
        <v>25</v>
      </c>
      <c r="G126" s="5">
        <v>85</v>
      </c>
      <c r="H126" s="5">
        <v>35</v>
      </c>
      <c r="I126" s="5">
        <v>3</v>
      </c>
      <c r="J126" s="5">
        <v>43</v>
      </c>
      <c r="K126" s="5">
        <v>78</v>
      </c>
      <c r="L126" s="5">
        <v>15</v>
      </c>
      <c r="M126" s="5" t="s">
        <v>24</v>
      </c>
      <c r="N126" s="5">
        <v>23</v>
      </c>
      <c r="O126" s="5" t="s">
        <v>21</v>
      </c>
      <c r="P126" s="5">
        <v>7</v>
      </c>
      <c r="Q126" s="5" t="s">
        <v>25</v>
      </c>
      <c r="R126" s="5">
        <v>5</v>
      </c>
      <c r="S126" s="5">
        <f>YEAR(Table1[[#This Row],[Visitor Date]])</f>
        <v>2022</v>
      </c>
      <c r="T126" s="7" t="str">
        <f>TEXT(Table1[[#This Row],[Visitor Date]],"mmm")</f>
        <v>May</v>
      </c>
    </row>
    <row r="127" spans="1:20" x14ac:dyDescent="0.3">
      <c r="A127" s="4" t="s">
        <v>26</v>
      </c>
      <c r="B127" s="5">
        <v>26</v>
      </c>
      <c r="C127" s="5" t="s">
        <v>19</v>
      </c>
      <c r="D127" s="5">
        <v>37</v>
      </c>
      <c r="E127" s="6">
        <v>44695</v>
      </c>
      <c r="F127" s="5">
        <v>8</v>
      </c>
      <c r="G127" s="5">
        <v>5</v>
      </c>
      <c r="H127" s="5">
        <v>76</v>
      </c>
      <c r="I127" s="5">
        <v>3</v>
      </c>
      <c r="J127" s="5">
        <v>47</v>
      </c>
      <c r="K127" s="5">
        <v>37</v>
      </c>
      <c r="L127" s="5">
        <v>6</v>
      </c>
      <c r="M127" s="5" t="s">
        <v>27</v>
      </c>
      <c r="N127" s="5">
        <v>20</v>
      </c>
      <c r="O127" s="5" t="s">
        <v>21</v>
      </c>
      <c r="P127" s="5">
        <v>16</v>
      </c>
      <c r="Q127" s="5" t="s">
        <v>22</v>
      </c>
      <c r="R127" s="5">
        <v>12</v>
      </c>
      <c r="S127" s="5">
        <f>YEAR(Table1[[#This Row],[Visitor Date]])</f>
        <v>2022</v>
      </c>
      <c r="T127" s="7" t="str">
        <f>TEXT(Table1[[#This Row],[Visitor Date]],"mmm")</f>
        <v>May</v>
      </c>
    </row>
    <row r="128" spans="1:20" x14ac:dyDescent="0.3">
      <c r="A128" s="4" t="s">
        <v>26</v>
      </c>
      <c r="B128" s="5">
        <v>26</v>
      </c>
      <c r="C128" s="5" t="s">
        <v>23</v>
      </c>
      <c r="D128" s="5">
        <v>29</v>
      </c>
      <c r="E128" s="6">
        <v>44696</v>
      </c>
      <c r="F128" s="5">
        <v>10</v>
      </c>
      <c r="G128" s="5">
        <v>7</v>
      </c>
      <c r="H128" s="5">
        <v>74</v>
      </c>
      <c r="I128" s="5">
        <v>3.2</v>
      </c>
      <c r="J128" s="5">
        <v>44</v>
      </c>
      <c r="K128" s="5">
        <v>31</v>
      </c>
      <c r="L128" s="5">
        <v>5.5</v>
      </c>
      <c r="M128" s="5" t="s">
        <v>27</v>
      </c>
      <c r="N128" s="5">
        <v>19</v>
      </c>
      <c r="O128" s="5" t="s">
        <v>21</v>
      </c>
      <c r="P128" s="5">
        <v>15</v>
      </c>
      <c r="Q128" s="5" t="s">
        <v>22</v>
      </c>
      <c r="R128" s="5">
        <v>11.5</v>
      </c>
      <c r="S128" s="5">
        <f>YEAR(Table1[[#This Row],[Visitor Date]])</f>
        <v>2022</v>
      </c>
      <c r="T128" s="7" t="str">
        <f>TEXT(Table1[[#This Row],[Visitor Date]],"mmm")</f>
        <v>May</v>
      </c>
    </row>
    <row r="129" spans="1:20" x14ac:dyDescent="0.3">
      <c r="A129" s="4" t="s">
        <v>26</v>
      </c>
      <c r="B129" s="5">
        <v>26</v>
      </c>
      <c r="C129" s="5" t="s">
        <v>35</v>
      </c>
      <c r="D129" s="5">
        <v>5</v>
      </c>
      <c r="E129" s="6">
        <v>44697</v>
      </c>
      <c r="F129" s="5">
        <v>7</v>
      </c>
      <c r="G129" s="5">
        <v>6.5</v>
      </c>
      <c r="H129" s="5">
        <v>70</v>
      </c>
      <c r="I129" s="5">
        <v>3.1</v>
      </c>
      <c r="J129" s="5">
        <v>42</v>
      </c>
      <c r="K129" s="5">
        <v>57</v>
      </c>
      <c r="L129" s="5">
        <v>4.5</v>
      </c>
      <c r="M129" s="5" t="s">
        <v>27</v>
      </c>
      <c r="N129" s="5">
        <v>18</v>
      </c>
      <c r="O129" s="5" t="s">
        <v>21</v>
      </c>
      <c r="P129" s="5">
        <v>14</v>
      </c>
      <c r="Q129" s="5" t="s">
        <v>22</v>
      </c>
      <c r="R129" s="5">
        <v>10</v>
      </c>
      <c r="S129" s="5">
        <f>YEAR(Table1[[#This Row],[Visitor Date]])</f>
        <v>2022</v>
      </c>
      <c r="T129" s="7" t="str">
        <f>TEXT(Table1[[#This Row],[Visitor Date]],"mmm")</f>
        <v>May</v>
      </c>
    </row>
    <row r="130" spans="1:20" x14ac:dyDescent="0.3">
      <c r="A130" s="4" t="s">
        <v>28</v>
      </c>
      <c r="B130" s="5">
        <v>68</v>
      </c>
      <c r="C130" s="5" t="s">
        <v>19</v>
      </c>
      <c r="D130" s="5">
        <v>6</v>
      </c>
      <c r="E130" s="6">
        <v>44698</v>
      </c>
      <c r="F130" s="5">
        <v>14</v>
      </c>
      <c r="G130" s="5">
        <v>91.5</v>
      </c>
      <c r="H130" s="5">
        <v>55</v>
      </c>
      <c r="I130" s="5">
        <v>3.6</v>
      </c>
      <c r="J130" s="5">
        <v>8</v>
      </c>
      <c r="K130" s="5">
        <v>35</v>
      </c>
      <c r="L130" s="5">
        <v>12</v>
      </c>
      <c r="M130" s="5" t="s">
        <v>20</v>
      </c>
      <c r="N130" s="5">
        <v>5</v>
      </c>
      <c r="O130" s="5" t="s">
        <v>29</v>
      </c>
      <c r="P130" s="5">
        <v>18</v>
      </c>
      <c r="Q130" s="5" t="s">
        <v>25</v>
      </c>
      <c r="R130" s="5">
        <v>19</v>
      </c>
      <c r="S130" s="5">
        <f>YEAR(Table1[[#This Row],[Visitor Date]])</f>
        <v>2022</v>
      </c>
      <c r="T130" s="7" t="str">
        <f>TEXT(Table1[[#This Row],[Visitor Date]],"mmm")</f>
        <v>May</v>
      </c>
    </row>
    <row r="131" spans="1:20" x14ac:dyDescent="0.3">
      <c r="A131" s="4" t="s">
        <v>28</v>
      </c>
      <c r="B131" s="5">
        <v>68</v>
      </c>
      <c r="C131" s="5" t="s">
        <v>23</v>
      </c>
      <c r="D131" s="5">
        <v>30</v>
      </c>
      <c r="E131" s="6">
        <v>44699</v>
      </c>
      <c r="F131" s="5">
        <v>11</v>
      </c>
      <c r="G131" s="5">
        <v>89</v>
      </c>
      <c r="H131" s="5">
        <v>53</v>
      </c>
      <c r="I131" s="5">
        <v>3</v>
      </c>
      <c r="J131" s="5">
        <v>6</v>
      </c>
      <c r="K131" s="5">
        <v>28</v>
      </c>
      <c r="L131" s="5">
        <v>10</v>
      </c>
      <c r="M131" s="5" t="s">
        <v>20</v>
      </c>
      <c r="N131" s="5">
        <v>4.5</v>
      </c>
      <c r="O131" s="5" t="s">
        <v>29</v>
      </c>
      <c r="P131" s="5">
        <v>16</v>
      </c>
      <c r="Q131" s="5" t="s">
        <v>25</v>
      </c>
      <c r="R131" s="5">
        <v>17</v>
      </c>
      <c r="S131" s="5">
        <f>YEAR(Table1[[#This Row],[Visitor Date]])</f>
        <v>2022</v>
      </c>
      <c r="T131" s="7" t="str">
        <f>TEXT(Table1[[#This Row],[Visitor Date]],"mmm")</f>
        <v>May</v>
      </c>
    </row>
    <row r="132" spans="1:20" x14ac:dyDescent="0.3">
      <c r="A132" s="4" t="s">
        <v>28</v>
      </c>
      <c r="B132" s="5">
        <v>68</v>
      </c>
      <c r="C132" s="5" t="s">
        <v>35</v>
      </c>
      <c r="D132" s="5">
        <v>0</v>
      </c>
      <c r="E132" s="6">
        <v>44700</v>
      </c>
      <c r="F132" s="5">
        <v>9</v>
      </c>
      <c r="G132" s="5">
        <v>88</v>
      </c>
      <c r="H132" s="5">
        <v>45</v>
      </c>
      <c r="I132" s="5">
        <v>2.8</v>
      </c>
      <c r="J132" s="5">
        <v>63</v>
      </c>
      <c r="K132" s="5">
        <v>45</v>
      </c>
      <c r="L132" s="5">
        <v>9</v>
      </c>
      <c r="M132" s="5" t="s">
        <v>20</v>
      </c>
      <c r="N132" s="5">
        <v>4</v>
      </c>
      <c r="O132" s="5" t="s">
        <v>29</v>
      </c>
      <c r="P132" s="5">
        <v>15</v>
      </c>
      <c r="Q132" s="5" t="s">
        <v>25</v>
      </c>
      <c r="R132" s="5">
        <v>16</v>
      </c>
      <c r="S132" s="5">
        <f>YEAR(Table1[[#This Row],[Visitor Date]])</f>
        <v>2022</v>
      </c>
      <c r="T132" s="7" t="str">
        <f>TEXT(Table1[[#This Row],[Visitor Date]],"mmm")</f>
        <v>May</v>
      </c>
    </row>
    <row r="133" spans="1:20" x14ac:dyDescent="0.3">
      <c r="A133" s="4" t="s">
        <v>30</v>
      </c>
      <c r="B133" s="5">
        <v>14</v>
      </c>
      <c r="C133" s="5" t="s">
        <v>19</v>
      </c>
      <c r="D133" s="5">
        <v>18</v>
      </c>
      <c r="E133" s="6">
        <v>44701</v>
      </c>
      <c r="F133" s="5">
        <v>17</v>
      </c>
      <c r="G133" s="5">
        <v>72</v>
      </c>
      <c r="H133" s="5">
        <v>42</v>
      </c>
      <c r="I133" s="5">
        <v>4.2</v>
      </c>
      <c r="J133" s="5">
        <v>60</v>
      </c>
      <c r="K133" s="5">
        <v>96</v>
      </c>
      <c r="L133" s="5">
        <v>14.5</v>
      </c>
      <c r="M133" s="5" t="s">
        <v>27</v>
      </c>
      <c r="N133" s="5">
        <v>21</v>
      </c>
      <c r="O133" s="5" t="s">
        <v>31</v>
      </c>
      <c r="P133" s="5">
        <v>16</v>
      </c>
      <c r="Q133" s="5" t="s">
        <v>25</v>
      </c>
      <c r="R133" s="5">
        <v>15.5</v>
      </c>
      <c r="S133" s="5">
        <f>YEAR(Table1[[#This Row],[Visitor Date]])</f>
        <v>2022</v>
      </c>
      <c r="T133" s="7" t="str">
        <f>TEXT(Table1[[#This Row],[Visitor Date]],"mmm")</f>
        <v>May</v>
      </c>
    </row>
    <row r="134" spans="1:20" x14ac:dyDescent="0.3">
      <c r="A134" s="4" t="s">
        <v>30</v>
      </c>
      <c r="B134" s="5">
        <v>14</v>
      </c>
      <c r="C134" s="5" t="s">
        <v>23</v>
      </c>
      <c r="D134" s="5">
        <v>15</v>
      </c>
      <c r="E134" s="6">
        <v>44702</v>
      </c>
      <c r="F134" s="5">
        <v>8</v>
      </c>
      <c r="G134" s="5">
        <v>67</v>
      </c>
      <c r="H134" s="5">
        <v>27</v>
      </c>
      <c r="I134" s="5">
        <v>3.7</v>
      </c>
      <c r="J134" s="5">
        <v>56</v>
      </c>
      <c r="K134" s="5">
        <v>62</v>
      </c>
      <c r="L134" s="5">
        <v>12.5</v>
      </c>
      <c r="M134" s="5" t="s">
        <v>27</v>
      </c>
      <c r="N134" s="5">
        <v>20.5</v>
      </c>
      <c r="O134" s="5" t="s">
        <v>31</v>
      </c>
      <c r="P134" s="5">
        <v>14</v>
      </c>
      <c r="Q134" s="5" t="s">
        <v>25</v>
      </c>
      <c r="R134" s="5">
        <v>13.5</v>
      </c>
      <c r="S134" s="5">
        <f>YEAR(Table1[[#This Row],[Visitor Date]])</f>
        <v>2022</v>
      </c>
      <c r="T134" s="7" t="str">
        <f>TEXT(Table1[[#This Row],[Visitor Date]],"mmm")</f>
        <v>May</v>
      </c>
    </row>
    <row r="135" spans="1:20" x14ac:dyDescent="0.3">
      <c r="A135" s="4" t="s">
        <v>30</v>
      </c>
      <c r="B135" s="5">
        <v>14</v>
      </c>
      <c r="C135" s="5" t="s">
        <v>35</v>
      </c>
      <c r="D135" s="5">
        <v>15</v>
      </c>
      <c r="E135" s="6">
        <v>44703</v>
      </c>
      <c r="F135" s="5">
        <v>6</v>
      </c>
      <c r="G135" s="5">
        <v>66</v>
      </c>
      <c r="H135" s="5">
        <v>25</v>
      </c>
      <c r="I135" s="5">
        <v>3.5</v>
      </c>
      <c r="J135" s="5">
        <v>54</v>
      </c>
      <c r="K135" s="5">
        <v>52</v>
      </c>
      <c r="L135" s="5">
        <v>12</v>
      </c>
      <c r="M135" s="5" t="s">
        <v>27</v>
      </c>
      <c r="N135" s="5">
        <v>19</v>
      </c>
      <c r="O135" s="5" t="s">
        <v>31</v>
      </c>
      <c r="P135" s="5">
        <v>13</v>
      </c>
      <c r="Q135" s="5" t="s">
        <v>25</v>
      </c>
      <c r="R135" s="5">
        <v>12</v>
      </c>
      <c r="S135" s="5">
        <f>YEAR(Table1[[#This Row],[Visitor Date]])</f>
        <v>2022</v>
      </c>
      <c r="T135" s="7" t="str">
        <f>TEXT(Table1[[#This Row],[Visitor Date]],"mmm")</f>
        <v>May</v>
      </c>
    </row>
    <row r="136" spans="1:20" x14ac:dyDescent="0.3">
      <c r="A136" s="4" t="s">
        <v>32</v>
      </c>
      <c r="B136" s="5">
        <v>33</v>
      </c>
      <c r="C136" s="5" t="s">
        <v>19</v>
      </c>
      <c r="D136" s="5">
        <v>33</v>
      </c>
      <c r="E136" s="6">
        <v>44704</v>
      </c>
      <c r="F136" s="5">
        <v>20</v>
      </c>
      <c r="G136" s="5">
        <v>63</v>
      </c>
      <c r="H136" s="5">
        <v>26</v>
      </c>
      <c r="I136" s="5">
        <v>4.3</v>
      </c>
      <c r="J136" s="5">
        <v>53</v>
      </c>
      <c r="K136" s="5">
        <v>96</v>
      </c>
      <c r="L136" s="5">
        <v>15</v>
      </c>
      <c r="M136" s="5" t="s">
        <v>24</v>
      </c>
      <c r="N136" s="5">
        <v>19</v>
      </c>
      <c r="O136" s="5" t="s">
        <v>33</v>
      </c>
      <c r="P136" s="5">
        <v>14</v>
      </c>
      <c r="Q136" s="5" t="s">
        <v>34</v>
      </c>
      <c r="R136" s="5">
        <v>11</v>
      </c>
      <c r="S136" s="5">
        <f>YEAR(Table1[[#This Row],[Visitor Date]])</f>
        <v>2022</v>
      </c>
      <c r="T136" s="7" t="str">
        <f>TEXT(Table1[[#This Row],[Visitor Date]],"mmm")</f>
        <v>May</v>
      </c>
    </row>
    <row r="137" spans="1:20" x14ac:dyDescent="0.3">
      <c r="A137" s="4" t="s">
        <v>32</v>
      </c>
      <c r="B137" s="5">
        <v>33</v>
      </c>
      <c r="C137" s="5" t="s">
        <v>23</v>
      </c>
      <c r="D137" s="5">
        <v>29</v>
      </c>
      <c r="E137" s="6">
        <v>44705</v>
      </c>
      <c r="F137" s="5">
        <v>15</v>
      </c>
      <c r="G137" s="5">
        <v>59</v>
      </c>
      <c r="H137" s="5">
        <v>27</v>
      </c>
      <c r="I137" s="5">
        <v>3.9</v>
      </c>
      <c r="J137" s="5">
        <v>51</v>
      </c>
      <c r="K137" s="5">
        <v>80</v>
      </c>
      <c r="L137" s="5">
        <v>14</v>
      </c>
      <c r="M137" s="5" t="s">
        <v>24</v>
      </c>
      <c r="N137" s="5">
        <v>18</v>
      </c>
      <c r="O137" s="5" t="s">
        <v>33</v>
      </c>
      <c r="P137" s="5">
        <v>13</v>
      </c>
      <c r="Q137" s="5" t="s">
        <v>34</v>
      </c>
      <c r="R137" s="5">
        <v>10</v>
      </c>
      <c r="S137" s="5">
        <f>YEAR(Table1[[#This Row],[Visitor Date]])</f>
        <v>2022</v>
      </c>
      <c r="T137" s="7" t="str">
        <f>TEXT(Table1[[#This Row],[Visitor Date]],"mmm")</f>
        <v>May</v>
      </c>
    </row>
    <row r="138" spans="1:20" x14ac:dyDescent="0.3">
      <c r="A138" s="4" t="s">
        <v>32</v>
      </c>
      <c r="B138" s="5">
        <v>33</v>
      </c>
      <c r="C138" s="5" t="s">
        <v>35</v>
      </c>
      <c r="D138" s="5">
        <v>2</v>
      </c>
      <c r="E138" s="6">
        <v>44706</v>
      </c>
      <c r="F138" s="5">
        <v>10</v>
      </c>
      <c r="G138" s="5">
        <v>58</v>
      </c>
      <c r="H138" s="5">
        <v>28</v>
      </c>
      <c r="I138" s="5">
        <v>3.6</v>
      </c>
      <c r="J138" s="5">
        <v>48</v>
      </c>
      <c r="K138" s="5">
        <v>51</v>
      </c>
      <c r="L138" s="5">
        <v>13</v>
      </c>
      <c r="M138" s="5" t="s">
        <v>24</v>
      </c>
      <c r="N138" s="5">
        <v>16</v>
      </c>
      <c r="O138" s="5" t="s">
        <v>33</v>
      </c>
      <c r="P138" s="5">
        <v>11</v>
      </c>
      <c r="Q138" s="5" t="s">
        <v>34</v>
      </c>
      <c r="R138" s="5">
        <v>8</v>
      </c>
      <c r="S138" s="5">
        <f>YEAR(Table1[[#This Row],[Visitor Date]])</f>
        <v>2022</v>
      </c>
      <c r="T138" s="7" t="str">
        <f>TEXT(Table1[[#This Row],[Visitor Date]],"mmm")</f>
        <v>May</v>
      </c>
    </row>
    <row r="139" spans="1:20" x14ac:dyDescent="0.3">
      <c r="A139" s="4" t="s">
        <v>18</v>
      </c>
      <c r="B139" s="5">
        <v>91</v>
      </c>
      <c r="C139" s="5" t="s">
        <v>19</v>
      </c>
      <c r="D139" s="5">
        <v>54</v>
      </c>
      <c r="E139" s="6">
        <v>44707</v>
      </c>
      <c r="F139" s="5">
        <v>52</v>
      </c>
      <c r="G139" s="5">
        <v>54</v>
      </c>
      <c r="H139" s="5">
        <v>77</v>
      </c>
      <c r="I139" s="5">
        <v>4.4000000000000004</v>
      </c>
      <c r="J139" s="5">
        <v>59</v>
      </c>
      <c r="K139" s="5">
        <v>73</v>
      </c>
      <c r="L139" s="5">
        <v>16</v>
      </c>
      <c r="M139" s="5" t="s">
        <v>20</v>
      </c>
      <c r="N139" s="5">
        <v>7</v>
      </c>
      <c r="O139" s="5" t="s">
        <v>21</v>
      </c>
      <c r="P139" s="5">
        <v>15</v>
      </c>
      <c r="Q139" s="5" t="s">
        <v>22</v>
      </c>
      <c r="R139" s="5">
        <v>22</v>
      </c>
      <c r="S139" s="5">
        <f>YEAR(Table1[[#This Row],[Visitor Date]])</f>
        <v>2022</v>
      </c>
      <c r="T139" s="7" t="str">
        <f>TEXT(Table1[[#This Row],[Visitor Date]],"mmm")</f>
        <v>May</v>
      </c>
    </row>
    <row r="140" spans="1:20" x14ac:dyDescent="0.3">
      <c r="A140" s="4" t="s">
        <v>18</v>
      </c>
      <c r="B140" s="5">
        <v>91</v>
      </c>
      <c r="C140" s="5" t="s">
        <v>23</v>
      </c>
      <c r="D140" s="5">
        <v>2</v>
      </c>
      <c r="E140" s="6">
        <v>44708</v>
      </c>
      <c r="F140" s="5">
        <v>27</v>
      </c>
      <c r="G140" s="5">
        <v>56</v>
      </c>
      <c r="H140" s="5">
        <v>70</v>
      </c>
      <c r="I140" s="5">
        <v>3.8</v>
      </c>
      <c r="J140" s="5">
        <v>58</v>
      </c>
      <c r="K140" s="5">
        <v>58</v>
      </c>
      <c r="L140" s="5">
        <v>14</v>
      </c>
      <c r="M140" s="5" t="s">
        <v>20</v>
      </c>
      <c r="N140" s="5">
        <v>6</v>
      </c>
      <c r="O140" s="5" t="s">
        <v>21</v>
      </c>
      <c r="P140" s="5">
        <v>14</v>
      </c>
      <c r="Q140" s="5" t="s">
        <v>22</v>
      </c>
      <c r="R140" s="5">
        <v>21</v>
      </c>
      <c r="S140" s="5">
        <f>YEAR(Table1[[#This Row],[Visitor Date]])</f>
        <v>2022</v>
      </c>
      <c r="T140" s="7" t="str">
        <f>TEXT(Table1[[#This Row],[Visitor Date]],"mmm")</f>
        <v>May</v>
      </c>
    </row>
    <row r="141" spans="1:20" x14ac:dyDescent="0.3">
      <c r="A141" s="4" t="s">
        <v>18</v>
      </c>
      <c r="B141" s="5">
        <v>91</v>
      </c>
      <c r="C141" s="5" t="s">
        <v>35</v>
      </c>
      <c r="D141" s="5">
        <v>7</v>
      </c>
      <c r="E141" s="6">
        <v>44709</v>
      </c>
      <c r="F141" s="5">
        <v>12</v>
      </c>
      <c r="G141" s="5">
        <v>58</v>
      </c>
      <c r="H141" s="5">
        <v>65</v>
      </c>
      <c r="I141" s="5">
        <v>3.4</v>
      </c>
      <c r="J141" s="5">
        <v>56</v>
      </c>
      <c r="K141" s="5">
        <v>45</v>
      </c>
      <c r="L141" s="5">
        <v>13</v>
      </c>
      <c r="M141" s="5" t="s">
        <v>20</v>
      </c>
      <c r="N141" s="5">
        <v>5.5</v>
      </c>
      <c r="O141" s="5" t="s">
        <v>21</v>
      </c>
      <c r="P141" s="5">
        <v>12</v>
      </c>
      <c r="Q141" s="5" t="s">
        <v>22</v>
      </c>
      <c r="R141" s="5">
        <v>19</v>
      </c>
      <c r="S141" s="5">
        <f>YEAR(Table1[[#This Row],[Visitor Date]])</f>
        <v>2022</v>
      </c>
      <c r="T141" s="7" t="str">
        <f>TEXT(Table1[[#This Row],[Visitor Date]],"mmm")</f>
        <v>May</v>
      </c>
    </row>
    <row r="142" spans="1:20" x14ac:dyDescent="0.3">
      <c r="A142" s="4" t="s">
        <v>24</v>
      </c>
      <c r="B142" s="5">
        <v>44</v>
      </c>
      <c r="C142" s="5" t="s">
        <v>19</v>
      </c>
      <c r="D142" s="5">
        <v>42</v>
      </c>
      <c r="E142" s="6">
        <v>44710</v>
      </c>
      <c r="F142" s="5">
        <v>45</v>
      </c>
      <c r="G142" s="5">
        <v>89</v>
      </c>
      <c r="H142" s="5">
        <v>45</v>
      </c>
      <c r="I142" s="5">
        <v>3.2</v>
      </c>
      <c r="J142" s="5">
        <v>45</v>
      </c>
      <c r="K142" s="5">
        <v>31</v>
      </c>
      <c r="L142" s="5">
        <v>17</v>
      </c>
      <c r="M142" s="5" t="s">
        <v>24</v>
      </c>
      <c r="N142" s="5">
        <v>26</v>
      </c>
      <c r="O142" s="5" t="s">
        <v>21</v>
      </c>
      <c r="P142" s="5">
        <v>7</v>
      </c>
      <c r="Q142" s="5" t="s">
        <v>25</v>
      </c>
      <c r="R142" s="5">
        <v>7</v>
      </c>
      <c r="S142" s="5">
        <f>YEAR(Table1[[#This Row],[Visitor Date]])</f>
        <v>2022</v>
      </c>
      <c r="T142" s="7" t="str">
        <f>TEXT(Table1[[#This Row],[Visitor Date]],"mmm")</f>
        <v>May</v>
      </c>
    </row>
    <row r="143" spans="1:20" x14ac:dyDescent="0.3">
      <c r="A143" s="4" t="s">
        <v>24</v>
      </c>
      <c r="B143" s="5">
        <v>44</v>
      </c>
      <c r="C143" s="5" t="s">
        <v>23</v>
      </c>
      <c r="D143" s="5">
        <v>139</v>
      </c>
      <c r="E143" s="6">
        <v>44711</v>
      </c>
      <c r="F143" s="5">
        <v>38</v>
      </c>
      <c r="G143" s="5">
        <v>85</v>
      </c>
      <c r="H143" s="5">
        <v>40</v>
      </c>
      <c r="I143" s="5">
        <v>2.9</v>
      </c>
      <c r="J143" s="5">
        <v>44</v>
      </c>
      <c r="K143" s="5">
        <v>27</v>
      </c>
      <c r="L143" s="5">
        <v>16</v>
      </c>
      <c r="M143" s="5" t="s">
        <v>24</v>
      </c>
      <c r="N143" s="5">
        <v>25</v>
      </c>
      <c r="O143" s="5" t="s">
        <v>21</v>
      </c>
      <c r="P143" s="5">
        <v>6.5</v>
      </c>
      <c r="Q143" s="5" t="s">
        <v>25</v>
      </c>
      <c r="R143" s="5">
        <v>6.5</v>
      </c>
      <c r="S143" s="5">
        <f>YEAR(Table1[[#This Row],[Visitor Date]])</f>
        <v>2022</v>
      </c>
      <c r="T143" s="7" t="str">
        <f>TEXT(Table1[[#This Row],[Visitor Date]],"mmm")</f>
        <v>May</v>
      </c>
    </row>
    <row r="144" spans="1:20" x14ac:dyDescent="0.3">
      <c r="A144" s="4" t="s">
        <v>24</v>
      </c>
      <c r="B144" s="5">
        <v>44</v>
      </c>
      <c r="C144" s="5" t="s">
        <v>35</v>
      </c>
      <c r="D144" s="5">
        <v>22</v>
      </c>
      <c r="E144" s="6">
        <v>44712</v>
      </c>
      <c r="F144" s="5">
        <v>25</v>
      </c>
      <c r="G144" s="5">
        <v>83</v>
      </c>
      <c r="H144" s="5">
        <v>35</v>
      </c>
      <c r="I144" s="5">
        <v>3</v>
      </c>
      <c r="J144" s="5">
        <v>43</v>
      </c>
      <c r="K144" s="5">
        <v>78</v>
      </c>
      <c r="L144" s="5">
        <v>15</v>
      </c>
      <c r="M144" s="5" t="s">
        <v>24</v>
      </c>
      <c r="N144" s="5">
        <v>23</v>
      </c>
      <c r="O144" s="5" t="s">
        <v>21</v>
      </c>
      <c r="P144" s="5">
        <v>7</v>
      </c>
      <c r="Q144" s="5" t="s">
        <v>25</v>
      </c>
      <c r="R144" s="5">
        <v>5</v>
      </c>
      <c r="S144" s="5">
        <f>YEAR(Table1[[#This Row],[Visitor Date]])</f>
        <v>2022</v>
      </c>
      <c r="T144" s="7" t="str">
        <f>TEXT(Table1[[#This Row],[Visitor Date]],"mmm")</f>
        <v>May</v>
      </c>
    </row>
    <row r="145" spans="1:20" x14ac:dyDescent="0.3">
      <c r="A145" s="4" t="s">
        <v>30</v>
      </c>
      <c r="B145" s="5">
        <v>14</v>
      </c>
      <c r="C145" s="5" t="s">
        <v>19</v>
      </c>
      <c r="D145" s="5">
        <v>119</v>
      </c>
      <c r="E145" s="6">
        <v>44713</v>
      </c>
      <c r="F145" s="5">
        <v>17</v>
      </c>
      <c r="G145" s="5">
        <v>70.63</v>
      </c>
      <c r="H145" s="5">
        <v>42</v>
      </c>
      <c r="I145" s="5">
        <v>4.2</v>
      </c>
      <c r="J145" s="5">
        <v>60</v>
      </c>
      <c r="K145" s="5">
        <v>96</v>
      </c>
      <c r="L145" s="5">
        <v>14.5</v>
      </c>
      <c r="M145" s="5" t="s">
        <v>27</v>
      </c>
      <c r="N145" s="5">
        <v>21</v>
      </c>
      <c r="O145" s="5" t="s">
        <v>31</v>
      </c>
      <c r="P145" s="5">
        <v>16</v>
      </c>
      <c r="Q145" s="5" t="s">
        <v>25</v>
      </c>
      <c r="R145" s="5">
        <v>15.5</v>
      </c>
      <c r="S145" s="5">
        <f>YEAR(Table1[[#This Row],[Visitor Date]])</f>
        <v>2022</v>
      </c>
      <c r="T145" s="7" t="str">
        <f>TEXT(Table1[[#This Row],[Visitor Date]],"mmm")</f>
        <v>Jun</v>
      </c>
    </row>
    <row r="146" spans="1:20" x14ac:dyDescent="0.3">
      <c r="A146" s="4" t="s">
        <v>30</v>
      </c>
      <c r="B146" s="5">
        <v>14</v>
      </c>
      <c r="C146" s="5" t="s">
        <v>23</v>
      </c>
      <c r="D146" s="5">
        <v>116</v>
      </c>
      <c r="E146" s="6">
        <v>44714</v>
      </c>
      <c r="F146" s="5">
        <v>9</v>
      </c>
      <c r="G146" s="5">
        <v>67</v>
      </c>
      <c r="H146" s="5">
        <v>27</v>
      </c>
      <c r="I146" s="5">
        <v>3.7</v>
      </c>
      <c r="J146" s="5">
        <v>56</v>
      </c>
      <c r="K146" s="5">
        <v>62</v>
      </c>
      <c r="L146" s="5">
        <v>12.5</v>
      </c>
      <c r="M146" s="5" t="s">
        <v>27</v>
      </c>
      <c r="N146" s="5">
        <v>20.5</v>
      </c>
      <c r="O146" s="5" t="s">
        <v>31</v>
      </c>
      <c r="P146" s="5">
        <v>14</v>
      </c>
      <c r="Q146" s="5" t="s">
        <v>25</v>
      </c>
      <c r="R146" s="5">
        <v>13.5</v>
      </c>
      <c r="S146" s="5">
        <f>YEAR(Table1[[#This Row],[Visitor Date]])</f>
        <v>2022</v>
      </c>
      <c r="T146" s="7" t="str">
        <f>TEXT(Table1[[#This Row],[Visitor Date]],"mmm")</f>
        <v>Jun</v>
      </c>
    </row>
    <row r="147" spans="1:20" x14ac:dyDescent="0.3">
      <c r="A147" s="4" t="s">
        <v>30</v>
      </c>
      <c r="B147" s="5">
        <v>14</v>
      </c>
      <c r="C147" s="5" t="s">
        <v>35</v>
      </c>
      <c r="D147" s="5">
        <v>122</v>
      </c>
      <c r="E147" s="6">
        <v>44715</v>
      </c>
      <c r="F147" s="5">
        <v>6</v>
      </c>
      <c r="G147" s="5">
        <v>66</v>
      </c>
      <c r="H147" s="5">
        <v>25</v>
      </c>
      <c r="I147" s="5">
        <v>3.5</v>
      </c>
      <c r="J147" s="5">
        <v>54</v>
      </c>
      <c r="K147" s="5">
        <v>52</v>
      </c>
      <c r="L147" s="5">
        <v>12</v>
      </c>
      <c r="M147" s="5" t="s">
        <v>27</v>
      </c>
      <c r="N147" s="5">
        <v>19</v>
      </c>
      <c r="O147" s="5" t="s">
        <v>31</v>
      </c>
      <c r="P147" s="5">
        <v>13</v>
      </c>
      <c r="Q147" s="5" t="s">
        <v>25</v>
      </c>
      <c r="R147" s="5">
        <v>12</v>
      </c>
      <c r="S147" s="5">
        <f>YEAR(Table1[[#This Row],[Visitor Date]])</f>
        <v>2022</v>
      </c>
      <c r="T147" s="7" t="str">
        <f>TEXT(Table1[[#This Row],[Visitor Date]],"mmm")</f>
        <v>Jun</v>
      </c>
    </row>
    <row r="148" spans="1:20" x14ac:dyDescent="0.3">
      <c r="A148" s="4" t="s">
        <v>32</v>
      </c>
      <c r="B148" s="5">
        <v>33</v>
      </c>
      <c r="C148" s="5" t="s">
        <v>19</v>
      </c>
      <c r="D148" s="5">
        <v>34</v>
      </c>
      <c r="E148" s="6">
        <v>44716</v>
      </c>
      <c r="F148" s="5">
        <v>20</v>
      </c>
      <c r="G148" s="5">
        <v>63</v>
      </c>
      <c r="H148" s="5">
        <v>26</v>
      </c>
      <c r="I148" s="5">
        <v>4.3</v>
      </c>
      <c r="J148" s="5">
        <v>53</v>
      </c>
      <c r="K148" s="5">
        <v>96</v>
      </c>
      <c r="L148" s="5">
        <v>15</v>
      </c>
      <c r="M148" s="5" t="s">
        <v>24</v>
      </c>
      <c r="N148" s="5">
        <v>19</v>
      </c>
      <c r="O148" s="5" t="s">
        <v>33</v>
      </c>
      <c r="P148" s="5">
        <v>14</v>
      </c>
      <c r="Q148" s="5" t="s">
        <v>34</v>
      </c>
      <c r="R148" s="5">
        <v>11</v>
      </c>
      <c r="S148" s="5">
        <f>YEAR(Table1[[#This Row],[Visitor Date]])</f>
        <v>2022</v>
      </c>
      <c r="T148" s="7" t="str">
        <f>TEXT(Table1[[#This Row],[Visitor Date]],"mmm")</f>
        <v>Jun</v>
      </c>
    </row>
    <row r="149" spans="1:20" x14ac:dyDescent="0.3">
      <c r="A149" s="4" t="s">
        <v>32</v>
      </c>
      <c r="B149" s="5">
        <v>33</v>
      </c>
      <c r="C149" s="5" t="s">
        <v>23</v>
      </c>
      <c r="D149" s="5">
        <v>30</v>
      </c>
      <c r="E149" s="6">
        <v>44717</v>
      </c>
      <c r="F149" s="5">
        <v>15</v>
      </c>
      <c r="G149" s="5">
        <v>59</v>
      </c>
      <c r="H149" s="5">
        <v>27</v>
      </c>
      <c r="I149" s="5">
        <v>3.9</v>
      </c>
      <c r="J149" s="5">
        <v>51</v>
      </c>
      <c r="K149" s="5">
        <v>80</v>
      </c>
      <c r="L149" s="5">
        <v>14</v>
      </c>
      <c r="M149" s="5" t="s">
        <v>24</v>
      </c>
      <c r="N149" s="5">
        <v>18</v>
      </c>
      <c r="O149" s="5" t="s">
        <v>33</v>
      </c>
      <c r="P149" s="5">
        <v>13</v>
      </c>
      <c r="Q149" s="5" t="s">
        <v>34</v>
      </c>
      <c r="R149" s="5">
        <v>10</v>
      </c>
      <c r="S149" s="5">
        <f>YEAR(Table1[[#This Row],[Visitor Date]])</f>
        <v>2022</v>
      </c>
      <c r="T149" s="7" t="str">
        <f>TEXT(Table1[[#This Row],[Visitor Date]],"mmm")</f>
        <v>Jun</v>
      </c>
    </row>
    <row r="150" spans="1:20" x14ac:dyDescent="0.3">
      <c r="A150" s="4" t="s">
        <v>32</v>
      </c>
      <c r="B150" s="5">
        <v>33</v>
      </c>
      <c r="C150" s="5" t="s">
        <v>35</v>
      </c>
      <c r="D150" s="5">
        <v>4</v>
      </c>
      <c r="E150" s="6">
        <v>44718</v>
      </c>
      <c r="F150" s="5">
        <v>10</v>
      </c>
      <c r="G150" s="5">
        <v>58</v>
      </c>
      <c r="H150" s="5">
        <v>28</v>
      </c>
      <c r="I150" s="5">
        <v>3.6</v>
      </c>
      <c r="J150" s="5">
        <v>48</v>
      </c>
      <c r="K150" s="5">
        <v>51</v>
      </c>
      <c r="L150" s="5">
        <v>13</v>
      </c>
      <c r="M150" s="5" t="s">
        <v>24</v>
      </c>
      <c r="N150" s="5">
        <v>16</v>
      </c>
      <c r="O150" s="5" t="s">
        <v>33</v>
      </c>
      <c r="P150" s="5">
        <v>11</v>
      </c>
      <c r="Q150" s="5" t="s">
        <v>34</v>
      </c>
      <c r="R150" s="5">
        <v>8</v>
      </c>
      <c r="S150" s="5">
        <f>YEAR(Table1[[#This Row],[Visitor Date]])</f>
        <v>2022</v>
      </c>
      <c r="T150" s="7" t="str">
        <f>TEXT(Table1[[#This Row],[Visitor Date]],"mmm")</f>
        <v>Jun</v>
      </c>
    </row>
    <row r="151" spans="1:20" x14ac:dyDescent="0.3">
      <c r="A151" s="4" t="s">
        <v>18</v>
      </c>
      <c r="B151" s="5">
        <v>91</v>
      </c>
      <c r="C151" s="5" t="s">
        <v>19</v>
      </c>
      <c r="D151" s="5">
        <v>55</v>
      </c>
      <c r="E151" s="6">
        <v>44719</v>
      </c>
      <c r="F151" s="5">
        <v>52</v>
      </c>
      <c r="G151" s="5">
        <v>54</v>
      </c>
      <c r="H151" s="5">
        <v>77</v>
      </c>
      <c r="I151" s="5">
        <v>4.4000000000000004</v>
      </c>
      <c r="J151" s="5">
        <v>59</v>
      </c>
      <c r="K151" s="5">
        <v>73</v>
      </c>
      <c r="L151" s="5">
        <v>16</v>
      </c>
      <c r="M151" s="5" t="s">
        <v>20</v>
      </c>
      <c r="N151" s="5">
        <v>7</v>
      </c>
      <c r="O151" s="5" t="s">
        <v>21</v>
      </c>
      <c r="P151" s="5">
        <v>15</v>
      </c>
      <c r="Q151" s="5" t="s">
        <v>22</v>
      </c>
      <c r="R151" s="5">
        <v>22</v>
      </c>
      <c r="S151" s="5">
        <f>YEAR(Table1[[#This Row],[Visitor Date]])</f>
        <v>2022</v>
      </c>
      <c r="T151" s="7" t="str">
        <f>TEXT(Table1[[#This Row],[Visitor Date]],"mmm")</f>
        <v>Jun</v>
      </c>
    </row>
    <row r="152" spans="1:20" x14ac:dyDescent="0.3">
      <c r="A152" s="4" t="s">
        <v>18</v>
      </c>
      <c r="B152" s="5">
        <v>91</v>
      </c>
      <c r="C152" s="5" t="s">
        <v>23</v>
      </c>
      <c r="D152" s="5">
        <v>84</v>
      </c>
      <c r="E152" s="6">
        <v>44720</v>
      </c>
      <c r="F152" s="5">
        <v>27</v>
      </c>
      <c r="G152" s="5">
        <v>56</v>
      </c>
      <c r="H152" s="5">
        <v>70</v>
      </c>
      <c r="I152" s="5">
        <v>3.8</v>
      </c>
      <c r="J152" s="5">
        <v>58</v>
      </c>
      <c r="K152" s="5">
        <v>58</v>
      </c>
      <c r="L152" s="5">
        <v>14</v>
      </c>
      <c r="M152" s="5" t="s">
        <v>20</v>
      </c>
      <c r="N152" s="5">
        <v>6</v>
      </c>
      <c r="O152" s="5" t="s">
        <v>21</v>
      </c>
      <c r="P152" s="5">
        <v>14</v>
      </c>
      <c r="Q152" s="5" t="s">
        <v>22</v>
      </c>
      <c r="R152" s="5">
        <v>21</v>
      </c>
      <c r="S152" s="5">
        <f>YEAR(Table1[[#This Row],[Visitor Date]])</f>
        <v>2022</v>
      </c>
      <c r="T152" s="7" t="str">
        <f>TEXT(Table1[[#This Row],[Visitor Date]],"mmm")</f>
        <v>Jun</v>
      </c>
    </row>
    <row r="153" spans="1:20" x14ac:dyDescent="0.3">
      <c r="A153" s="4" t="s">
        <v>18</v>
      </c>
      <c r="B153" s="5">
        <v>91</v>
      </c>
      <c r="C153" s="5" t="s">
        <v>35</v>
      </c>
      <c r="D153" s="5">
        <v>88</v>
      </c>
      <c r="E153" s="6">
        <v>44721</v>
      </c>
      <c r="F153" s="5">
        <v>12</v>
      </c>
      <c r="G153" s="5">
        <v>58</v>
      </c>
      <c r="H153" s="5">
        <v>65</v>
      </c>
      <c r="I153" s="5">
        <v>3.4</v>
      </c>
      <c r="J153" s="5">
        <v>5</v>
      </c>
      <c r="K153" s="5">
        <v>45</v>
      </c>
      <c r="L153" s="5">
        <v>13</v>
      </c>
      <c r="M153" s="5" t="s">
        <v>20</v>
      </c>
      <c r="N153" s="5">
        <v>5.5</v>
      </c>
      <c r="O153" s="5" t="s">
        <v>21</v>
      </c>
      <c r="P153" s="5">
        <v>12</v>
      </c>
      <c r="Q153" s="5" t="s">
        <v>22</v>
      </c>
      <c r="R153" s="5">
        <v>19</v>
      </c>
      <c r="S153" s="5">
        <f>YEAR(Table1[[#This Row],[Visitor Date]])</f>
        <v>2022</v>
      </c>
      <c r="T153" s="7" t="str">
        <f>TEXT(Table1[[#This Row],[Visitor Date]],"mmm")</f>
        <v>Jun</v>
      </c>
    </row>
    <row r="154" spans="1:20" x14ac:dyDescent="0.3">
      <c r="A154" s="4" t="s">
        <v>24</v>
      </c>
      <c r="B154" s="5">
        <v>44</v>
      </c>
      <c r="C154" s="5" t="s">
        <v>19</v>
      </c>
      <c r="D154" s="5">
        <v>43</v>
      </c>
      <c r="E154" s="6">
        <v>44722</v>
      </c>
      <c r="F154" s="5">
        <v>45</v>
      </c>
      <c r="G154" s="5">
        <v>89</v>
      </c>
      <c r="H154" s="5">
        <v>45</v>
      </c>
      <c r="I154" s="5">
        <v>3.2</v>
      </c>
      <c r="J154" s="5">
        <v>45</v>
      </c>
      <c r="K154" s="5">
        <v>31</v>
      </c>
      <c r="L154" s="5">
        <v>17</v>
      </c>
      <c r="M154" s="5" t="s">
        <v>24</v>
      </c>
      <c r="N154" s="5">
        <v>26</v>
      </c>
      <c r="O154" s="5" t="s">
        <v>21</v>
      </c>
      <c r="P154" s="5">
        <v>7</v>
      </c>
      <c r="Q154" s="5" t="s">
        <v>25</v>
      </c>
      <c r="R154" s="5">
        <v>7</v>
      </c>
      <c r="S154" s="5">
        <f>YEAR(Table1[[#This Row],[Visitor Date]])</f>
        <v>2022</v>
      </c>
      <c r="T154" s="7" t="str">
        <f>TEXT(Table1[[#This Row],[Visitor Date]],"mmm")</f>
        <v>Jun</v>
      </c>
    </row>
    <row r="155" spans="1:20" x14ac:dyDescent="0.3">
      <c r="A155" s="4" t="s">
        <v>24</v>
      </c>
      <c r="B155" s="5">
        <v>44</v>
      </c>
      <c r="C155" s="5" t="s">
        <v>23</v>
      </c>
      <c r="D155" s="5">
        <v>137</v>
      </c>
      <c r="E155" s="6">
        <v>44723</v>
      </c>
      <c r="F155" s="5">
        <v>38</v>
      </c>
      <c r="G155" s="5">
        <v>85</v>
      </c>
      <c r="H155" s="5">
        <v>40</v>
      </c>
      <c r="I155" s="5">
        <v>2.9</v>
      </c>
      <c r="J155" s="5">
        <v>44</v>
      </c>
      <c r="K155" s="5">
        <v>27</v>
      </c>
      <c r="L155" s="5">
        <v>16</v>
      </c>
      <c r="M155" s="5" t="s">
        <v>24</v>
      </c>
      <c r="N155" s="5">
        <v>25</v>
      </c>
      <c r="O155" s="5" t="s">
        <v>21</v>
      </c>
      <c r="P155" s="5">
        <v>6.5</v>
      </c>
      <c r="Q155" s="5" t="s">
        <v>25</v>
      </c>
      <c r="R155" s="5">
        <v>6.5</v>
      </c>
      <c r="S155" s="5">
        <f>YEAR(Table1[[#This Row],[Visitor Date]])</f>
        <v>2022</v>
      </c>
      <c r="T155" s="7" t="str">
        <f>TEXT(Table1[[#This Row],[Visitor Date]],"mmm")</f>
        <v>Jun</v>
      </c>
    </row>
    <row r="156" spans="1:20" x14ac:dyDescent="0.3">
      <c r="A156" s="4" t="s">
        <v>24</v>
      </c>
      <c r="B156" s="5">
        <v>44</v>
      </c>
      <c r="C156" s="5" t="s">
        <v>35</v>
      </c>
      <c r="D156" s="5">
        <v>20</v>
      </c>
      <c r="E156" s="6">
        <v>44724</v>
      </c>
      <c r="F156" s="5">
        <v>25</v>
      </c>
      <c r="G156" s="5">
        <v>83</v>
      </c>
      <c r="H156" s="5">
        <v>35</v>
      </c>
      <c r="I156" s="5">
        <v>3</v>
      </c>
      <c r="J156" s="5">
        <v>43</v>
      </c>
      <c r="K156" s="5">
        <v>78</v>
      </c>
      <c r="L156" s="5">
        <v>15</v>
      </c>
      <c r="M156" s="5" t="s">
        <v>24</v>
      </c>
      <c r="N156" s="5">
        <v>23</v>
      </c>
      <c r="O156" s="5" t="s">
        <v>21</v>
      </c>
      <c r="P156" s="5">
        <v>7</v>
      </c>
      <c r="Q156" s="5" t="s">
        <v>25</v>
      </c>
      <c r="R156" s="5">
        <v>5</v>
      </c>
      <c r="S156" s="5">
        <f>YEAR(Table1[[#This Row],[Visitor Date]])</f>
        <v>2022</v>
      </c>
      <c r="T156" s="7" t="str">
        <f>TEXT(Table1[[#This Row],[Visitor Date]],"mmm")</f>
        <v>Jun</v>
      </c>
    </row>
    <row r="157" spans="1:20" x14ac:dyDescent="0.3">
      <c r="A157" s="4" t="s">
        <v>26</v>
      </c>
      <c r="B157" s="5">
        <v>26</v>
      </c>
      <c r="C157" s="5" t="s">
        <v>19</v>
      </c>
      <c r="D157" s="5">
        <v>35</v>
      </c>
      <c r="E157" s="6">
        <v>44725</v>
      </c>
      <c r="F157" s="5">
        <v>10</v>
      </c>
      <c r="G157" s="5">
        <v>5.5</v>
      </c>
      <c r="H157" s="5">
        <v>76</v>
      </c>
      <c r="I157" s="5">
        <v>3.5</v>
      </c>
      <c r="J157" s="5">
        <v>48</v>
      </c>
      <c r="K157" s="5">
        <v>33</v>
      </c>
      <c r="L157" s="5">
        <v>6.5</v>
      </c>
      <c r="M157" s="5" t="s">
        <v>27</v>
      </c>
      <c r="N157" s="5">
        <v>22</v>
      </c>
      <c r="O157" s="5" t="s">
        <v>21</v>
      </c>
      <c r="P157" s="5">
        <v>15</v>
      </c>
      <c r="Q157" s="5" t="s">
        <v>22</v>
      </c>
      <c r="R157" s="5">
        <v>12</v>
      </c>
      <c r="S157" s="5">
        <f>YEAR(Table1[[#This Row],[Visitor Date]])</f>
        <v>2022</v>
      </c>
      <c r="T157" s="7" t="str">
        <f>TEXT(Table1[[#This Row],[Visitor Date]],"mmm")</f>
        <v>Jun</v>
      </c>
    </row>
    <row r="158" spans="1:20" x14ac:dyDescent="0.3">
      <c r="A158" s="4" t="s">
        <v>26</v>
      </c>
      <c r="B158" s="5">
        <v>26</v>
      </c>
      <c r="C158" s="5" t="s">
        <v>23</v>
      </c>
      <c r="D158" s="5">
        <v>29</v>
      </c>
      <c r="E158" s="6">
        <v>44726</v>
      </c>
      <c r="F158" s="5">
        <v>12</v>
      </c>
      <c r="G158" s="5">
        <v>6</v>
      </c>
      <c r="H158" s="5">
        <v>75</v>
      </c>
      <c r="I158" s="5">
        <v>3.1</v>
      </c>
      <c r="J158" s="5">
        <v>45</v>
      </c>
      <c r="K158" s="5">
        <v>28</v>
      </c>
      <c r="L158" s="5">
        <v>5</v>
      </c>
      <c r="M158" s="5" t="s">
        <v>27</v>
      </c>
      <c r="N158" s="5">
        <v>21</v>
      </c>
      <c r="O158" s="5" t="s">
        <v>21</v>
      </c>
      <c r="P158" s="5">
        <v>14</v>
      </c>
      <c r="Q158" s="5" t="s">
        <v>22</v>
      </c>
      <c r="R158" s="5">
        <v>11</v>
      </c>
      <c r="S158" s="5">
        <f>YEAR(Table1[[#This Row],[Visitor Date]])</f>
        <v>2022</v>
      </c>
      <c r="T158" s="7" t="str">
        <f>TEXT(Table1[[#This Row],[Visitor Date]],"mmm")</f>
        <v>Jun</v>
      </c>
    </row>
    <row r="159" spans="1:20" x14ac:dyDescent="0.3">
      <c r="A159" s="4" t="s">
        <v>26</v>
      </c>
      <c r="B159" s="5">
        <v>26</v>
      </c>
      <c r="C159" s="5" t="s">
        <v>35</v>
      </c>
      <c r="D159" s="5">
        <v>114</v>
      </c>
      <c r="E159" s="6">
        <v>44727</v>
      </c>
      <c r="F159" s="5">
        <v>8</v>
      </c>
      <c r="G159" s="5">
        <v>6.5</v>
      </c>
      <c r="H159" s="5">
        <v>70</v>
      </c>
      <c r="I159" s="5">
        <v>3</v>
      </c>
      <c r="J159" s="5">
        <v>42</v>
      </c>
      <c r="K159" s="5">
        <v>69</v>
      </c>
      <c r="L159" s="5">
        <v>4.5</v>
      </c>
      <c r="M159" s="5" t="s">
        <v>27</v>
      </c>
      <c r="N159" s="5">
        <v>20</v>
      </c>
      <c r="O159" s="5" t="s">
        <v>21</v>
      </c>
      <c r="P159" s="5">
        <v>12</v>
      </c>
      <c r="Q159" s="5" t="s">
        <v>22</v>
      </c>
      <c r="R159" s="5">
        <v>10</v>
      </c>
      <c r="S159" s="5">
        <f>YEAR(Table1[[#This Row],[Visitor Date]])</f>
        <v>2022</v>
      </c>
      <c r="T159" s="7" t="str">
        <f>TEXT(Table1[[#This Row],[Visitor Date]],"mmm")</f>
        <v>Jun</v>
      </c>
    </row>
    <row r="160" spans="1:20" x14ac:dyDescent="0.3">
      <c r="A160" s="4" t="s">
        <v>18</v>
      </c>
      <c r="B160" s="5">
        <v>91</v>
      </c>
      <c r="C160" s="5" t="s">
        <v>19</v>
      </c>
      <c r="D160" s="5">
        <v>60</v>
      </c>
      <c r="E160" s="6">
        <v>44728</v>
      </c>
      <c r="F160" s="5">
        <v>47</v>
      </c>
      <c r="G160" s="5">
        <v>54.88</v>
      </c>
      <c r="H160" s="5">
        <v>77</v>
      </c>
      <c r="I160" s="5">
        <v>4.4000000000000004</v>
      </c>
      <c r="J160" s="5">
        <v>61.5</v>
      </c>
      <c r="K160" s="5">
        <v>76</v>
      </c>
      <c r="L160" s="5">
        <v>17.100000000000001</v>
      </c>
      <c r="M160" s="5" t="s">
        <v>20</v>
      </c>
      <c r="N160" s="5">
        <v>6.2</v>
      </c>
      <c r="O160" s="5" t="s">
        <v>21</v>
      </c>
      <c r="P160" s="5">
        <v>17.399999999999999</v>
      </c>
      <c r="Q160" s="5" t="s">
        <v>22</v>
      </c>
      <c r="R160" s="5">
        <v>22.2</v>
      </c>
      <c r="S160" s="5">
        <f>YEAR(Table1[[#This Row],[Visitor Date]])</f>
        <v>2022</v>
      </c>
      <c r="T160" s="7" t="str">
        <f>TEXT(Table1[[#This Row],[Visitor Date]],"mmm")</f>
        <v>Jun</v>
      </c>
    </row>
    <row r="161" spans="1:20" x14ac:dyDescent="0.3">
      <c r="A161" s="4" t="s">
        <v>24</v>
      </c>
      <c r="B161" s="5">
        <v>44</v>
      </c>
      <c r="C161" s="5" t="s">
        <v>23</v>
      </c>
      <c r="D161" s="5">
        <v>66</v>
      </c>
      <c r="E161" s="6">
        <v>44729</v>
      </c>
      <c r="F161" s="5">
        <v>44</v>
      </c>
      <c r="G161" s="5">
        <v>91.47</v>
      </c>
      <c r="H161" s="5">
        <v>49</v>
      </c>
      <c r="I161" s="5">
        <v>2.7</v>
      </c>
      <c r="J161" s="5">
        <v>47.8</v>
      </c>
      <c r="K161" s="5">
        <v>37</v>
      </c>
      <c r="L161" s="5">
        <v>18</v>
      </c>
      <c r="M161" s="5" t="s">
        <v>24</v>
      </c>
      <c r="N161" s="5">
        <v>27.5</v>
      </c>
      <c r="O161" s="5" t="s">
        <v>21</v>
      </c>
      <c r="P161" s="5">
        <v>8.1</v>
      </c>
      <c r="Q161" s="5" t="s">
        <v>25</v>
      </c>
      <c r="R161" s="5">
        <v>6.9</v>
      </c>
      <c r="S161" s="5">
        <f>YEAR(Table1[[#This Row],[Visitor Date]])</f>
        <v>2022</v>
      </c>
      <c r="T161" s="7" t="str">
        <f>TEXT(Table1[[#This Row],[Visitor Date]],"mmm")</f>
        <v>Jun</v>
      </c>
    </row>
    <row r="162" spans="1:20" x14ac:dyDescent="0.3">
      <c r="A162" s="4" t="s">
        <v>26</v>
      </c>
      <c r="B162" s="5">
        <v>26</v>
      </c>
      <c r="C162" s="5" t="s">
        <v>19</v>
      </c>
      <c r="D162" s="5">
        <v>53</v>
      </c>
      <c r="E162" s="6">
        <v>44730</v>
      </c>
      <c r="F162" s="5">
        <v>8</v>
      </c>
      <c r="G162" s="5">
        <v>6.04</v>
      </c>
      <c r="H162" s="5">
        <v>78</v>
      </c>
      <c r="I162" s="5">
        <v>3.2</v>
      </c>
      <c r="J162" s="5">
        <v>48.7</v>
      </c>
      <c r="K162" s="5">
        <v>39</v>
      </c>
      <c r="L162" s="5">
        <v>5.8</v>
      </c>
      <c r="M162" s="5" t="s">
        <v>27</v>
      </c>
      <c r="N162" s="5">
        <v>23.6</v>
      </c>
      <c r="O162" s="5" t="s">
        <v>21</v>
      </c>
      <c r="P162" s="5">
        <v>18.399999999999999</v>
      </c>
      <c r="Q162" s="5" t="s">
        <v>22</v>
      </c>
      <c r="R162" s="5">
        <v>11.6</v>
      </c>
      <c r="S162" s="5">
        <f>YEAR(Table1[[#This Row],[Visitor Date]])</f>
        <v>2022</v>
      </c>
      <c r="T162" s="7" t="str">
        <f>TEXT(Table1[[#This Row],[Visitor Date]],"mmm")</f>
        <v>Jun</v>
      </c>
    </row>
    <row r="163" spans="1:20" x14ac:dyDescent="0.3">
      <c r="A163" s="4" t="s">
        <v>28</v>
      </c>
      <c r="B163" s="5">
        <v>68</v>
      </c>
      <c r="C163" s="5" t="s">
        <v>23</v>
      </c>
      <c r="D163" s="5">
        <v>64</v>
      </c>
      <c r="E163" s="6">
        <v>44731</v>
      </c>
      <c r="F163" s="5">
        <v>11</v>
      </c>
      <c r="G163" s="5">
        <v>90</v>
      </c>
      <c r="H163" s="5">
        <v>54</v>
      </c>
      <c r="I163" s="5">
        <v>3.3</v>
      </c>
      <c r="J163" s="5">
        <v>7.8</v>
      </c>
      <c r="K163" s="5">
        <v>38</v>
      </c>
      <c r="L163" s="5">
        <v>11</v>
      </c>
      <c r="M163" s="5" t="s">
        <v>20</v>
      </c>
      <c r="N163" s="5">
        <v>5.3</v>
      </c>
      <c r="O163" s="5" t="s">
        <v>29</v>
      </c>
      <c r="P163" s="5">
        <v>20.5</v>
      </c>
      <c r="Q163" s="5" t="s">
        <v>25</v>
      </c>
      <c r="R163" s="5">
        <v>19.5</v>
      </c>
      <c r="S163" s="5">
        <f>YEAR(Table1[[#This Row],[Visitor Date]])</f>
        <v>2022</v>
      </c>
      <c r="T163" s="7" t="str">
        <f>TEXT(Table1[[#This Row],[Visitor Date]],"mmm")</f>
        <v>Jun</v>
      </c>
    </row>
    <row r="164" spans="1:20" x14ac:dyDescent="0.3">
      <c r="A164" s="4" t="s">
        <v>30</v>
      </c>
      <c r="B164" s="5">
        <v>14</v>
      </c>
      <c r="C164" s="5" t="s">
        <v>23</v>
      </c>
      <c r="D164" s="5">
        <v>2</v>
      </c>
      <c r="E164" s="6">
        <v>44732</v>
      </c>
      <c r="F164" s="5">
        <v>14</v>
      </c>
      <c r="G164" s="5">
        <v>70.63</v>
      </c>
      <c r="H164" s="5">
        <v>41</v>
      </c>
      <c r="I164" s="5">
        <v>3.9</v>
      </c>
      <c r="J164" s="5">
        <v>59.4</v>
      </c>
      <c r="K164" s="5">
        <v>25</v>
      </c>
      <c r="L164" s="5">
        <v>15.6</v>
      </c>
      <c r="M164" s="5" t="s">
        <v>27</v>
      </c>
      <c r="N164" s="5">
        <v>23.7</v>
      </c>
      <c r="O164" s="5" t="s">
        <v>31</v>
      </c>
      <c r="P164" s="5">
        <v>15.6</v>
      </c>
      <c r="Q164" s="5" t="s">
        <v>25</v>
      </c>
      <c r="R164" s="5">
        <v>15.1</v>
      </c>
      <c r="S164" s="5">
        <f>YEAR(Table1[[#This Row],[Visitor Date]])</f>
        <v>2022</v>
      </c>
      <c r="T164" s="7" t="str">
        <f>TEXT(Table1[[#This Row],[Visitor Date]],"mmm")</f>
        <v>Jun</v>
      </c>
    </row>
    <row r="165" spans="1:20" x14ac:dyDescent="0.3">
      <c r="A165" s="4" t="s">
        <v>18</v>
      </c>
      <c r="B165" s="5">
        <v>91</v>
      </c>
      <c r="C165" s="5" t="s">
        <v>19</v>
      </c>
      <c r="D165" s="5">
        <v>157</v>
      </c>
      <c r="E165" s="6">
        <v>44733</v>
      </c>
      <c r="F165" s="5">
        <v>52</v>
      </c>
      <c r="G165" s="5">
        <v>54</v>
      </c>
      <c r="H165" s="5">
        <v>77</v>
      </c>
      <c r="I165" s="5">
        <v>4.5999999999999996</v>
      </c>
      <c r="J165" s="5">
        <v>58</v>
      </c>
      <c r="K165" s="5">
        <v>73</v>
      </c>
      <c r="L165" s="5">
        <v>17</v>
      </c>
      <c r="M165" s="5" t="s">
        <v>20</v>
      </c>
      <c r="N165" s="5">
        <v>8</v>
      </c>
      <c r="O165" s="5" t="s">
        <v>21</v>
      </c>
      <c r="P165" s="5">
        <v>16</v>
      </c>
      <c r="Q165" s="5" t="s">
        <v>22</v>
      </c>
      <c r="R165" s="5">
        <v>23</v>
      </c>
      <c r="S165" s="5">
        <f>YEAR(Table1[[#This Row],[Visitor Date]])</f>
        <v>2022</v>
      </c>
      <c r="T165" s="7" t="str">
        <f>TEXT(Table1[[#This Row],[Visitor Date]],"mmm")</f>
        <v>Jun</v>
      </c>
    </row>
    <row r="166" spans="1:20" x14ac:dyDescent="0.3">
      <c r="A166" s="4" t="s">
        <v>24</v>
      </c>
      <c r="B166" s="5">
        <v>44</v>
      </c>
      <c r="C166" s="5" t="s">
        <v>19</v>
      </c>
      <c r="D166" s="5">
        <v>129</v>
      </c>
      <c r="E166" s="6">
        <v>44734</v>
      </c>
      <c r="F166" s="5">
        <v>45</v>
      </c>
      <c r="G166" s="5">
        <v>89</v>
      </c>
      <c r="H166" s="5">
        <v>47</v>
      </c>
      <c r="I166" s="5">
        <v>3.3</v>
      </c>
      <c r="J166" s="5">
        <v>45</v>
      </c>
      <c r="K166" s="5">
        <v>32</v>
      </c>
      <c r="L166" s="5">
        <v>18</v>
      </c>
      <c r="M166" s="5" t="s">
        <v>24</v>
      </c>
      <c r="N166" s="5">
        <v>27.5</v>
      </c>
      <c r="O166" s="5" t="s">
        <v>21</v>
      </c>
      <c r="P166" s="5">
        <v>9.5</v>
      </c>
      <c r="Q166" s="5" t="s">
        <v>25</v>
      </c>
      <c r="R166" s="5">
        <v>8.5</v>
      </c>
      <c r="S166" s="5">
        <f>YEAR(Table1[[#This Row],[Visitor Date]])</f>
        <v>2022</v>
      </c>
      <c r="T166" s="7" t="str">
        <f>TEXT(Table1[[#This Row],[Visitor Date]],"mmm")</f>
        <v>Jun</v>
      </c>
    </row>
    <row r="167" spans="1:20" x14ac:dyDescent="0.3">
      <c r="A167" s="4" t="s">
        <v>26</v>
      </c>
      <c r="B167" s="5">
        <v>26</v>
      </c>
      <c r="C167" s="5" t="s">
        <v>23</v>
      </c>
      <c r="D167" s="5">
        <v>269</v>
      </c>
      <c r="E167" s="6">
        <v>44735</v>
      </c>
      <c r="F167" s="5">
        <v>10</v>
      </c>
      <c r="G167" s="5">
        <v>5.5</v>
      </c>
      <c r="H167" s="5">
        <v>76</v>
      </c>
      <c r="I167" s="5">
        <v>3.5</v>
      </c>
      <c r="J167" s="5">
        <v>48</v>
      </c>
      <c r="K167" s="5">
        <v>33</v>
      </c>
      <c r="L167" s="5">
        <v>6.5</v>
      </c>
      <c r="M167" s="5" t="s">
        <v>27</v>
      </c>
      <c r="N167" s="5">
        <v>22</v>
      </c>
      <c r="O167" s="5" t="s">
        <v>21</v>
      </c>
      <c r="P167" s="5">
        <v>15</v>
      </c>
      <c r="Q167" s="5" t="s">
        <v>22</v>
      </c>
      <c r="R167" s="5">
        <v>12</v>
      </c>
      <c r="S167" s="5">
        <f>YEAR(Table1[[#This Row],[Visitor Date]])</f>
        <v>2022</v>
      </c>
      <c r="T167" s="7" t="str">
        <f>TEXT(Table1[[#This Row],[Visitor Date]],"mmm")</f>
        <v>Jun</v>
      </c>
    </row>
    <row r="168" spans="1:20" x14ac:dyDescent="0.3">
      <c r="A168" s="4" t="s">
        <v>32</v>
      </c>
      <c r="B168" s="5">
        <v>33</v>
      </c>
      <c r="C168" s="5" t="s">
        <v>19</v>
      </c>
      <c r="D168" s="5">
        <v>34</v>
      </c>
      <c r="E168" s="6">
        <v>44736</v>
      </c>
      <c r="F168" s="5">
        <v>20</v>
      </c>
      <c r="G168" s="5">
        <v>63</v>
      </c>
      <c r="H168" s="5">
        <v>77</v>
      </c>
      <c r="I168" s="5">
        <v>4.3</v>
      </c>
      <c r="J168" s="5">
        <v>53</v>
      </c>
      <c r="K168" s="5">
        <v>96</v>
      </c>
      <c r="L168" s="5">
        <v>15</v>
      </c>
      <c r="M168" s="5" t="s">
        <v>24</v>
      </c>
      <c r="N168" s="5">
        <v>19</v>
      </c>
      <c r="O168" s="5" t="s">
        <v>33</v>
      </c>
      <c r="P168" s="5">
        <v>14</v>
      </c>
      <c r="Q168" s="5" t="s">
        <v>34</v>
      </c>
      <c r="R168" s="5">
        <v>11</v>
      </c>
      <c r="S168" s="5">
        <f>YEAR(Table1[[#This Row],[Visitor Date]])</f>
        <v>2022</v>
      </c>
      <c r="T168" s="7" t="str">
        <f>TEXT(Table1[[#This Row],[Visitor Date]],"mmm")</f>
        <v>Jun</v>
      </c>
    </row>
    <row r="169" spans="1:20" x14ac:dyDescent="0.3">
      <c r="A169" s="4" t="s">
        <v>32</v>
      </c>
      <c r="B169" s="5">
        <v>33</v>
      </c>
      <c r="C169" s="5" t="s">
        <v>23</v>
      </c>
      <c r="D169" s="5">
        <v>30</v>
      </c>
      <c r="E169" s="6">
        <v>44737</v>
      </c>
      <c r="F169" s="5">
        <v>15</v>
      </c>
      <c r="G169" s="5">
        <v>59</v>
      </c>
      <c r="H169" s="5">
        <v>78</v>
      </c>
      <c r="I169" s="5">
        <v>3.9</v>
      </c>
      <c r="J169" s="5">
        <v>51</v>
      </c>
      <c r="K169" s="5">
        <v>80</v>
      </c>
      <c r="L169" s="5">
        <v>14</v>
      </c>
      <c r="M169" s="5" t="s">
        <v>24</v>
      </c>
      <c r="N169" s="5">
        <v>18</v>
      </c>
      <c r="O169" s="5" t="s">
        <v>33</v>
      </c>
      <c r="P169" s="5">
        <v>13</v>
      </c>
      <c r="Q169" s="5" t="s">
        <v>34</v>
      </c>
      <c r="R169" s="5">
        <v>10</v>
      </c>
      <c r="S169" s="5">
        <f>YEAR(Table1[[#This Row],[Visitor Date]])</f>
        <v>2022</v>
      </c>
      <c r="T169" s="7" t="str">
        <f>TEXT(Table1[[#This Row],[Visitor Date]],"mmm")</f>
        <v>Jun</v>
      </c>
    </row>
    <row r="170" spans="1:20" x14ac:dyDescent="0.3">
      <c r="A170" s="4" t="s">
        <v>32</v>
      </c>
      <c r="B170" s="5">
        <v>33</v>
      </c>
      <c r="C170" s="5" t="s">
        <v>35</v>
      </c>
      <c r="D170" s="5">
        <v>4</v>
      </c>
      <c r="E170" s="6">
        <v>44738</v>
      </c>
      <c r="F170" s="5">
        <v>10</v>
      </c>
      <c r="G170" s="5">
        <v>58</v>
      </c>
      <c r="H170" s="5">
        <v>79</v>
      </c>
      <c r="I170" s="5">
        <v>3.6</v>
      </c>
      <c r="J170" s="5">
        <v>48</v>
      </c>
      <c r="K170" s="5">
        <v>51</v>
      </c>
      <c r="L170" s="5">
        <v>13</v>
      </c>
      <c r="M170" s="5" t="s">
        <v>24</v>
      </c>
      <c r="N170" s="5">
        <v>16</v>
      </c>
      <c r="O170" s="5" t="s">
        <v>33</v>
      </c>
      <c r="P170" s="5">
        <v>11</v>
      </c>
      <c r="Q170" s="5" t="s">
        <v>34</v>
      </c>
      <c r="R170" s="5">
        <v>8</v>
      </c>
      <c r="S170" s="5">
        <f>YEAR(Table1[[#This Row],[Visitor Date]])</f>
        <v>2022</v>
      </c>
      <c r="T170" s="7" t="str">
        <f>TEXT(Table1[[#This Row],[Visitor Date]],"mmm")</f>
        <v>Jun</v>
      </c>
    </row>
    <row r="171" spans="1:20" x14ac:dyDescent="0.3">
      <c r="A171" s="4" t="s">
        <v>30</v>
      </c>
      <c r="B171" s="5">
        <v>14</v>
      </c>
      <c r="C171" s="5" t="s">
        <v>19</v>
      </c>
      <c r="D171" s="5">
        <v>19</v>
      </c>
      <c r="E171" s="6">
        <v>44739</v>
      </c>
      <c r="F171" s="5">
        <v>17</v>
      </c>
      <c r="G171" s="5">
        <v>72</v>
      </c>
      <c r="H171" s="5">
        <v>42</v>
      </c>
      <c r="I171" s="5">
        <v>4</v>
      </c>
      <c r="J171" s="5">
        <v>60</v>
      </c>
      <c r="K171" s="5">
        <v>98</v>
      </c>
      <c r="L171" s="5">
        <v>14.5</v>
      </c>
      <c r="M171" s="5" t="s">
        <v>27</v>
      </c>
      <c r="N171" s="5">
        <v>21</v>
      </c>
      <c r="O171" s="5" t="s">
        <v>31</v>
      </c>
      <c r="P171" s="5">
        <v>16</v>
      </c>
      <c r="Q171" s="5" t="s">
        <v>25</v>
      </c>
      <c r="R171" s="5">
        <v>15.5</v>
      </c>
      <c r="S171" s="5">
        <f>YEAR(Table1[[#This Row],[Visitor Date]])</f>
        <v>2022</v>
      </c>
      <c r="T171" s="7" t="str">
        <f>TEXT(Table1[[#This Row],[Visitor Date]],"mmm")</f>
        <v>Jun</v>
      </c>
    </row>
    <row r="172" spans="1:20" x14ac:dyDescent="0.3">
      <c r="A172" s="4" t="s">
        <v>30</v>
      </c>
      <c r="B172" s="5">
        <v>14</v>
      </c>
      <c r="C172" s="5" t="s">
        <v>23</v>
      </c>
      <c r="D172" s="5">
        <v>116</v>
      </c>
      <c r="E172" s="6">
        <v>44740</v>
      </c>
      <c r="F172" s="5">
        <v>10</v>
      </c>
      <c r="G172" s="5">
        <v>67</v>
      </c>
      <c r="H172" s="5">
        <v>27</v>
      </c>
      <c r="I172" s="5">
        <v>3.5</v>
      </c>
      <c r="J172" s="5">
        <v>56</v>
      </c>
      <c r="K172" s="5">
        <v>62</v>
      </c>
      <c r="L172" s="5">
        <v>12.5</v>
      </c>
      <c r="M172" s="5" t="s">
        <v>27</v>
      </c>
      <c r="N172" s="5">
        <v>20.5</v>
      </c>
      <c r="O172" s="5" t="s">
        <v>31</v>
      </c>
      <c r="P172" s="5">
        <v>14</v>
      </c>
      <c r="Q172" s="5" t="s">
        <v>25</v>
      </c>
      <c r="R172" s="5">
        <v>13</v>
      </c>
      <c r="S172" s="5">
        <f>YEAR(Table1[[#This Row],[Visitor Date]])</f>
        <v>2022</v>
      </c>
      <c r="T172" s="7" t="str">
        <f>TEXT(Table1[[#This Row],[Visitor Date]],"mmm")</f>
        <v>Jun</v>
      </c>
    </row>
    <row r="173" spans="1:20" x14ac:dyDescent="0.3">
      <c r="A173" s="4" t="s">
        <v>30</v>
      </c>
      <c r="B173" s="5">
        <v>14</v>
      </c>
      <c r="C173" s="5" t="s">
        <v>35</v>
      </c>
      <c r="D173" s="5">
        <v>4</v>
      </c>
      <c r="E173" s="6">
        <v>44741</v>
      </c>
      <c r="F173" s="5">
        <v>9</v>
      </c>
      <c r="G173" s="5">
        <v>66</v>
      </c>
      <c r="H173" s="5">
        <v>25</v>
      </c>
      <c r="I173" s="5">
        <v>3.4</v>
      </c>
      <c r="J173" s="5">
        <v>54</v>
      </c>
      <c r="K173" s="5">
        <v>52</v>
      </c>
      <c r="L173" s="5">
        <v>12</v>
      </c>
      <c r="M173" s="5" t="s">
        <v>27</v>
      </c>
      <c r="N173" s="5">
        <v>19</v>
      </c>
      <c r="O173" s="5" t="s">
        <v>31</v>
      </c>
      <c r="P173" s="5">
        <v>13</v>
      </c>
      <c r="Q173" s="5" t="s">
        <v>25</v>
      </c>
      <c r="R173" s="5">
        <v>12</v>
      </c>
      <c r="S173" s="5">
        <f>YEAR(Table1[[#This Row],[Visitor Date]])</f>
        <v>2022</v>
      </c>
      <c r="T173" s="7" t="str">
        <f>TEXT(Table1[[#This Row],[Visitor Date]],"mmm")</f>
        <v>Jun</v>
      </c>
    </row>
    <row r="174" spans="1:20" x14ac:dyDescent="0.3">
      <c r="A174" s="4" t="s">
        <v>28</v>
      </c>
      <c r="B174" s="5">
        <v>68</v>
      </c>
      <c r="C174" s="5" t="s">
        <v>19</v>
      </c>
      <c r="D174" s="5">
        <v>62</v>
      </c>
      <c r="E174" s="6">
        <v>44742</v>
      </c>
      <c r="F174" s="5">
        <v>15</v>
      </c>
      <c r="G174" s="5">
        <v>91.5</v>
      </c>
      <c r="H174" s="5">
        <v>57</v>
      </c>
      <c r="I174" s="5">
        <v>3.7</v>
      </c>
      <c r="J174" s="5">
        <v>6</v>
      </c>
      <c r="K174" s="5">
        <v>38</v>
      </c>
      <c r="L174" s="5">
        <v>12</v>
      </c>
      <c r="M174" s="5" t="s">
        <v>20</v>
      </c>
      <c r="N174" s="5">
        <v>5.5</v>
      </c>
      <c r="O174" s="5" t="s">
        <v>29</v>
      </c>
      <c r="P174" s="5">
        <v>20</v>
      </c>
      <c r="Q174" s="5" t="s">
        <v>25</v>
      </c>
      <c r="R174" s="5">
        <v>18.5</v>
      </c>
      <c r="S174" s="5">
        <f>YEAR(Table1[[#This Row],[Visitor Date]])</f>
        <v>2022</v>
      </c>
      <c r="T174" s="7" t="str">
        <f>TEXT(Table1[[#This Row],[Visitor Date]],"mmm")</f>
        <v>Jun</v>
      </c>
    </row>
    <row r="175" spans="1:20" x14ac:dyDescent="0.3">
      <c r="A175" s="4" t="s">
        <v>28</v>
      </c>
      <c r="B175" s="5">
        <v>68</v>
      </c>
      <c r="C175" s="5" t="s">
        <v>23</v>
      </c>
      <c r="D175" s="5">
        <v>28</v>
      </c>
      <c r="E175" s="6">
        <v>44743</v>
      </c>
      <c r="F175" s="5">
        <v>12</v>
      </c>
      <c r="G175" s="5">
        <v>89</v>
      </c>
      <c r="H175" s="5">
        <v>53</v>
      </c>
      <c r="I175" s="5">
        <v>3.1</v>
      </c>
      <c r="J175" s="5"/>
      <c r="K175" s="5">
        <v>99</v>
      </c>
      <c r="L175" s="5">
        <v>11.5</v>
      </c>
      <c r="M175" s="5" t="s">
        <v>20</v>
      </c>
      <c r="N175" s="5">
        <v>4.5</v>
      </c>
      <c r="O175" s="5" t="s">
        <v>29</v>
      </c>
      <c r="P175" s="5">
        <v>18</v>
      </c>
      <c r="Q175" s="5" t="s">
        <v>25</v>
      </c>
      <c r="R175" s="5">
        <v>17</v>
      </c>
      <c r="S175" s="5">
        <f>YEAR(Table1[[#This Row],[Visitor Date]])</f>
        <v>2022</v>
      </c>
      <c r="T175" s="7" t="str">
        <f>TEXT(Table1[[#This Row],[Visitor Date]],"mmm")</f>
        <v>Jul</v>
      </c>
    </row>
    <row r="176" spans="1:20" x14ac:dyDescent="0.3">
      <c r="A176" s="4" t="s">
        <v>28</v>
      </c>
      <c r="B176" s="5">
        <v>68</v>
      </c>
      <c r="C176" s="5" t="s">
        <v>35</v>
      </c>
      <c r="D176" s="5">
        <v>115</v>
      </c>
      <c r="E176" s="6">
        <v>44744</v>
      </c>
      <c r="F176" s="5">
        <v>10</v>
      </c>
      <c r="G176" s="5">
        <v>88</v>
      </c>
      <c r="H176" s="5">
        <v>45</v>
      </c>
      <c r="I176" s="5">
        <v>2.9</v>
      </c>
      <c r="J176" s="5">
        <v>64</v>
      </c>
      <c r="K176" s="5">
        <v>55</v>
      </c>
      <c r="L176" s="5">
        <v>10</v>
      </c>
      <c r="M176" s="5" t="s">
        <v>20</v>
      </c>
      <c r="N176" s="5">
        <v>4</v>
      </c>
      <c r="O176" s="5" t="s">
        <v>29</v>
      </c>
      <c r="P176" s="5">
        <v>16.5</v>
      </c>
      <c r="Q176" s="5" t="s">
        <v>25</v>
      </c>
      <c r="R176" s="5">
        <v>15</v>
      </c>
      <c r="S176" s="5">
        <f>YEAR(Table1[[#This Row],[Visitor Date]])</f>
        <v>2022</v>
      </c>
      <c r="T176" s="7" t="str">
        <f>TEXT(Table1[[#This Row],[Visitor Date]],"mmm")</f>
        <v>Jul</v>
      </c>
    </row>
    <row r="177" spans="1:20" x14ac:dyDescent="0.3">
      <c r="A177" s="4" t="s">
        <v>18</v>
      </c>
      <c r="B177" s="5">
        <v>91</v>
      </c>
      <c r="C177" s="5" t="s">
        <v>19</v>
      </c>
      <c r="D177" s="5">
        <v>34</v>
      </c>
      <c r="E177" s="6">
        <v>44745</v>
      </c>
      <c r="F177" s="5">
        <v>9</v>
      </c>
      <c r="G177" s="5">
        <v>5.5</v>
      </c>
      <c r="H177" s="5">
        <v>76</v>
      </c>
      <c r="I177" s="5">
        <v>3.5</v>
      </c>
      <c r="J177" s="5">
        <v>48</v>
      </c>
      <c r="K177" s="5">
        <v>33</v>
      </c>
      <c r="L177" s="5">
        <v>6.5</v>
      </c>
      <c r="M177" s="5" t="s">
        <v>27</v>
      </c>
      <c r="N177" s="5">
        <v>22</v>
      </c>
      <c r="O177" s="5" t="s">
        <v>21</v>
      </c>
      <c r="P177" s="5">
        <v>15</v>
      </c>
      <c r="Q177" s="5" t="s">
        <v>22</v>
      </c>
      <c r="R177" s="5">
        <v>12</v>
      </c>
      <c r="S177" s="5">
        <f>YEAR(Table1[[#This Row],[Visitor Date]])</f>
        <v>2022</v>
      </c>
      <c r="T177" s="7" t="str">
        <f>TEXT(Table1[[#This Row],[Visitor Date]],"mmm")</f>
        <v>Jul</v>
      </c>
    </row>
    <row r="178" spans="1:20" x14ac:dyDescent="0.3">
      <c r="A178" s="4" t="s">
        <v>26</v>
      </c>
      <c r="B178" s="5">
        <v>26</v>
      </c>
      <c r="C178" s="5" t="s">
        <v>23</v>
      </c>
      <c r="D178" s="5">
        <v>28</v>
      </c>
      <c r="E178" s="6">
        <v>44746</v>
      </c>
      <c r="F178" s="5">
        <v>12</v>
      </c>
      <c r="G178" s="5">
        <v>6</v>
      </c>
      <c r="H178" s="5">
        <v>75</v>
      </c>
      <c r="I178" s="5">
        <v>3.1</v>
      </c>
      <c r="J178" s="5">
        <v>45</v>
      </c>
      <c r="K178" s="5">
        <v>28</v>
      </c>
      <c r="L178" s="5">
        <v>5</v>
      </c>
      <c r="M178" s="5" t="s">
        <v>27</v>
      </c>
      <c r="N178" s="5">
        <v>21</v>
      </c>
      <c r="O178" s="5" t="s">
        <v>21</v>
      </c>
      <c r="P178" s="5">
        <v>14</v>
      </c>
      <c r="Q178" s="5" t="s">
        <v>22</v>
      </c>
      <c r="R178" s="5">
        <v>11</v>
      </c>
      <c r="S178" s="5">
        <f>YEAR(Table1[[#This Row],[Visitor Date]])</f>
        <v>2022</v>
      </c>
      <c r="T178" s="7" t="str">
        <f>TEXT(Table1[[#This Row],[Visitor Date]],"mmm")</f>
        <v>Jul</v>
      </c>
    </row>
    <row r="179" spans="1:20" x14ac:dyDescent="0.3">
      <c r="A179" s="4" t="s">
        <v>26</v>
      </c>
      <c r="B179" s="5">
        <v>26</v>
      </c>
      <c r="C179" s="5" t="s">
        <v>35</v>
      </c>
      <c r="D179" s="5">
        <v>8</v>
      </c>
      <c r="E179" s="6">
        <v>44747</v>
      </c>
      <c r="F179" s="5">
        <v>8</v>
      </c>
      <c r="G179" s="5">
        <v>6.5</v>
      </c>
      <c r="H179" s="5">
        <v>70</v>
      </c>
      <c r="I179" s="5">
        <v>3</v>
      </c>
      <c r="J179" s="5">
        <v>42</v>
      </c>
      <c r="K179" s="5">
        <v>69</v>
      </c>
      <c r="L179" s="5">
        <v>4.5</v>
      </c>
      <c r="M179" s="5" t="s">
        <v>27</v>
      </c>
      <c r="N179" s="5">
        <v>20</v>
      </c>
      <c r="O179" s="5" t="s">
        <v>21</v>
      </c>
      <c r="P179" s="5">
        <v>12</v>
      </c>
      <c r="Q179" s="5" t="s">
        <v>25</v>
      </c>
      <c r="R179" s="5">
        <v>23</v>
      </c>
      <c r="S179" s="5">
        <f>YEAR(Table1[[#This Row],[Visitor Date]])</f>
        <v>2022</v>
      </c>
      <c r="T179" s="7" t="str">
        <f>TEXT(Table1[[#This Row],[Visitor Date]],"mmm")</f>
        <v>Jul</v>
      </c>
    </row>
    <row r="180" spans="1:20" x14ac:dyDescent="0.3">
      <c r="A180" s="4" t="s">
        <v>18</v>
      </c>
      <c r="B180" s="5">
        <v>91</v>
      </c>
      <c r="C180" s="5" t="s">
        <v>19</v>
      </c>
      <c r="D180" s="5">
        <v>57</v>
      </c>
      <c r="E180" s="6">
        <v>44748</v>
      </c>
      <c r="F180" s="5">
        <v>53</v>
      </c>
      <c r="G180" s="5">
        <v>54</v>
      </c>
      <c r="H180" s="5">
        <v>77</v>
      </c>
      <c r="I180" s="5">
        <v>4.5999999999999996</v>
      </c>
      <c r="J180" s="5">
        <v>58</v>
      </c>
      <c r="K180" s="5">
        <v>73</v>
      </c>
      <c r="L180" s="5">
        <v>17</v>
      </c>
      <c r="M180" s="5" t="s">
        <v>20</v>
      </c>
      <c r="N180" s="5">
        <v>8</v>
      </c>
      <c r="O180" s="5" t="s">
        <v>21</v>
      </c>
      <c r="P180" s="5">
        <v>16</v>
      </c>
      <c r="Q180" s="5" t="s">
        <v>22</v>
      </c>
      <c r="R180" s="5">
        <v>23</v>
      </c>
      <c r="S180" s="5">
        <f>YEAR(Table1[[#This Row],[Visitor Date]])</f>
        <v>2022</v>
      </c>
      <c r="T180" s="7" t="str">
        <f>TEXT(Table1[[#This Row],[Visitor Date]],"mmm")</f>
        <v>Jul</v>
      </c>
    </row>
    <row r="181" spans="1:20" x14ac:dyDescent="0.3">
      <c r="A181" s="4" t="s">
        <v>18</v>
      </c>
      <c r="B181" s="5">
        <v>91</v>
      </c>
      <c r="C181" s="5" t="s">
        <v>23</v>
      </c>
      <c r="D181" s="5">
        <v>156</v>
      </c>
      <c r="E181" s="6">
        <v>44749</v>
      </c>
      <c r="F181" s="5">
        <v>30</v>
      </c>
      <c r="G181" s="5">
        <v>56</v>
      </c>
      <c r="H181" s="5">
        <v>72</v>
      </c>
      <c r="I181" s="5">
        <v>3.9</v>
      </c>
      <c r="J181" s="5">
        <v>57</v>
      </c>
      <c r="K181" s="5">
        <v>62</v>
      </c>
      <c r="L181" s="5">
        <v>15.5</v>
      </c>
      <c r="M181" s="5" t="s">
        <v>20</v>
      </c>
      <c r="N181" s="5">
        <v>7.5</v>
      </c>
      <c r="O181" s="5" t="s">
        <v>21</v>
      </c>
      <c r="P181" s="5">
        <v>15</v>
      </c>
      <c r="Q181" s="5" t="s">
        <v>22</v>
      </c>
      <c r="R181" s="5">
        <v>21.5</v>
      </c>
      <c r="S181" s="5">
        <f>YEAR(Table1[[#This Row],[Visitor Date]])</f>
        <v>2022</v>
      </c>
      <c r="T181" s="7" t="str">
        <f>TEXT(Table1[[#This Row],[Visitor Date]],"mmm")</f>
        <v>Jul</v>
      </c>
    </row>
    <row r="182" spans="1:20" x14ac:dyDescent="0.3">
      <c r="A182" s="4" t="s">
        <v>18</v>
      </c>
      <c r="B182" s="5">
        <v>91</v>
      </c>
      <c r="C182" s="5" t="s">
        <v>35</v>
      </c>
      <c r="D182" s="5">
        <v>22</v>
      </c>
      <c r="E182" s="6">
        <v>44750</v>
      </c>
      <c r="F182" s="5">
        <v>12</v>
      </c>
      <c r="G182" s="5">
        <v>58</v>
      </c>
      <c r="H182" s="5">
        <v>67</v>
      </c>
      <c r="I182" s="5">
        <v>3.3</v>
      </c>
      <c r="J182" s="5">
        <v>15</v>
      </c>
      <c r="K182" s="5">
        <v>46</v>
      </c>
      <c r="L182" s="5">
        <v>14</v>
      </c>
      <c r="M182" s="5" t="s">
        <v>20</v>
      </c>
      <c r="N182" s="5">
        <v>6</v>
      </c>
      <c r="O182" s="5" t="s">
        <v>21</v>
      </c>
      <c r="P182" s="5">
        <v>13.5</v>
      </c>
      <c r="Q182" s="5" t="s">
        <v>22</v>
      </c>
      <c r="R182" s="5">
        <v>20</v>
      </c>
      <c r="S182" s="5">
        <f>YEAR(Table1[[#This Row],[Visitor Date]])</f>
        <v>2022</v>
      </c>
      <c r="T182" s="7" t="str">
        <f>TEXT(Table1[[#This Row],[Visitor Date]],"mmm")</f>
        <v>Jul</v>
      </c>
    </row>
    <row r="183" spans="1:20" x14ac:dyDescent="0.3">
      <c r="A183" s="4" t="s">
        <v>24</v>
      </c>
      <c r="B183" s="5">
        <v>44</v>
      </c>
      <c r="C183" s="5" t="s">
        <v>19</v>
      </c>
      <c r="D183" s="5">
        <v>46</v>
      </c>
      <c r="E183" s="6">
        <v>44751</v>
      </c>
      <c r="F183" s="5">
        <v>47</v>
      </c>
      <c r="G183" s="5">
        <v>90</v>
      </c>
      <c r="H183" s="5">
        <v>47</v>
      </c>
      <c r="I183" s="5">
        <v>3.3</v>
      </c>
      <c r="J183" s="5">
        <v>45</v>
      </c>
      <c r="K183" s="5">
        <v>32</v>
      </c>
      <c r="L183" s="5">
        <v>18</v>
      </c>
      <c r="M183" s="5" t="s">
        <v>24</v>
      </c>
      <c r="N183" s="5">
        <v>27.5</v>
      </c>
      <c r="O183" s="5" t="s">
        <v>21</v>
      </c>
      <c r="P183" s="5">
        <v>9.5</v>
      </c>
      <c r="Q183" s="5" t="s">
        <v>25</v>
      </c>
      <c r="R183" s="5">
        <v>8.5</v>
      </c>
      <c r="S183" s="5">
        <f>YEAR(Table1[[#This Row],[Visitor Date]])</f>
        <v>2022</v>
      </c>
      <c r="T183" s="7" t="str">
        <f>TEXT(Table1[[#This Row],[Visitor Date]],"mmm")</f>
        <v>Jul</v>
      </c>
    </row>
    <row r="184" spans="1:20" x14ac:dyDescent="0.3">
      <c r="A184" s="4" t="s">
        <v>24</v>
      </c>
      <c r="B184" s="5">
        <v>44</v>
      </c>
      <c r="C184" s="5" t="s">
        <v>23</v>
      </c>
      <c r="D184" s="5">
        <v>139</v>
      </c>
      <c r="E184" s="6">
        <v>44752</v>
      </c>
      <c r="F184" s="5">
        <v>39</v>
      </c>
      <c r="G184" s="5">
        <v>87</v>
      </c>
      <c r="H184" s="5">
        <v>41</v>
      </c>
      <c r="I184" s="5">
        <v>3</v>
      </c>
      <c r="J184" s="5">
        <v>44</v>
      </c>
      <c r="K184" s="5">
        <v>27</v>
      </c>
      <c r="L184" s="5">
        <v>17</v>
      </c>
      <c r="M184" s="5" t="s">
        <v>24</v>
      </c>
      <c r="N184" s="5">
        <v>26</v>
      </c>
      <c r="O184" s="5" t="s">
        <v>21</v>
      </c>
      <c r="P184" s="5">
        <v>8</v>
      </c>
      <c r="Q184" s="5" t="s">
        <v>25</v>
      </c>
      <c r="R184" s="5">
        <v>7.5</v>
      </c>
      <c r="S184" s="5">
        <f>YEAR(Table1[[#This Row],[Visitor Date]])</f>
        <v>2022</v>
      </c>
      <c r="T184" s="7" t="str">
        <f>TEXT(Table1[[#This Row],[Visitor Date]],"mmm")</f>
        <v>Jul</v>
      </c>
    </row>
    <row r="185" spans="1:20" x14ac:dyDescent="0.3">
      <c r="A185" s="4" t="s">
        <v>24</v>
      </c>
      <c r="B185" s="5">
        <v>44</v>
      </c>
      <c r="C185" s="5" t="s">
        <v>35</v>
      </c>
      <c r="D185" s="5">
        <v>29</v>
      </c>
      <c r="E185" s="6">
        <v>44753</v>
      </c>
      <c r="F185" s="5">
        <v>25</v>
      </c>
      <c r="G185" s="5">
        <v>85</v>
      </c>
      <c r="H185" s="5">
        <v>35</v>
      </c>
      <c r="I185" s="5">
        <v>3</v>
      </c>
      <c r="J185" s="5">
        <v>43</v>
      </c>
      <c r="K185" s="5">
        <v>78</v>
      </c>
      <c r="L185" s="5">
        <v>16.5</v>
      </c>
      <c r="M185" s="5" t="s">
        <v>24</v>
      </c>
      <c r="N185" s="5">
        <v>25</v>
      </c>
      <c r="O185" s="5" t="s">
        <v>21</v>
      </c>
      <c r="P185" s="5">
        <v>7</v>
      </c>
      <c r="Q185" s="5" t="s">
        <v>25</v>
      </c>
      <c r="R185" s="5">
        <v>6</v>
      </c>
      <c r="S185" s="5">
        <f>YEAR(Table1[[#This Row],[Visitor Date]])</f>
        <v>2022</v>
      </c>
      <c r="T185" s="7" t="str">
        <f>TEXT(Table1[[#This Row],[Visitor Date]],"mmm")</f>
        <v>Jul</v>
      </c>
    </row>
    <row r="186" spans="1:20" x14ac:dyDescent="0.3">
      <c r="A186" s="4" t="s">
        <v>26</v>
      </c>
      <c r="B186" s="5">
        <v>26</v>
      </c>
      <c r="C186" s="5" t="s">
        <v>19</v>
      </c>
      <c r="D186" s="5">
        <v>35</v>
      </c>
      <c r="E186" s="6">
        <v>44754</v>
      </c>
      <c r="F186" s="5">
        <v>10</v>
      </c>
      <c r="G186" s="5">
        <v>5.5</v>
      </c>
      <c r="H186" s="5">
        <v>76</v>
      </c>
      <c r="I186" s="5">
        <v>3.5</v>
      </c>
      <c r="J186" s="5">
        <v>48</v>
      </c>
      <c r="K186" s="5">
        <v>33</v>
      </c>
      <c r="L186" s="5">
        <v>6.5</v>
      </c>
      <c r="M186" s="5" t="s">
        <v>27</v>
      </c>
      <c r="N186" s="5">
        <v>22</v>
      </c>
      <c r="O186" s="5" t="s">
        <v>21</v>
      </c>
      <c r="P186" s="5">
        <v>15</v>
      </c>
      <c r="Q186" s="5" t="s">
        <v>22</v>
      </c>
      <c r="R186" s="5">
        <v>12</v>
      </c>
      <c r="S186" s="5">
        <f>YEAR(Table1[[#This Row],[Visitor Date]])</f>
        <v>2022</v>
      </c>
      <c r="T186" s="7" t="str">
        <f>TEXT(Table1[[#This Row],[Visitor Date]],"mmm")</f>
        <v>Jul</v>
      </c>
    </row>
    <row r="187" spans="1:20" x14ac:dyDescent="0.3">
      <c r="A187" s="4" t="s">
        <v>26</v>
      </c>
      <c r="B187" s="5">
        <v>26</v>
      </c>
      <c r="C187" s="5" t="s">
        <v>23</v>
      </c>
      <c r="D187" s="5">
        <v>32</v>
      </c>
      <c r="E187" s="6">
        <v>44755</v>
      </c>
      <c r="F187" s="5">
        <v>12</v>
      </c>
      <c r="G187" s="5">
        <v>6</v>
      </c>
      <c r="H187" s="5">
        <v>75</v>
      </c>
      <c r="I187" s="5">
        <v>3.1</v>
      </c>
      <c r="J187" s="5">
        <v>45</v>
      </c>
      <c r="K187" s="5">
        <v>28</v>
      </c>
      <c r="L187" s="5">
        <v>6</v>
      </c>
      <c r="M187" s="5" t="s">
        <v>27</v>
      </c>
      <c r="N187" s="5">
        <v>21</v>
      </c>
      <c r="O187" s="5" t="s">
        <v>21</v>
      </c>
      <c r="P187" s="5">
        <v>14</v>
      </c>
      <c r="Q187" s="5" t="s">
        <v>22</v>
      </c>
      <c r="R187" s="5">
        <v>11</v>
      </c>
      <c r="S187" s="5">
        <f>YEAR(Table1[[#This Row],[Visitor Date]])</f>
        <v>2022</v>
      </c>
      <c r="T187" s="7" t="str">
        <f>TEXT(Table1[[#This Row],[Visitor Date]],"mmm")</f>
        <v>Jul</v>
      </c>
    </row>
    <row r="188" spans="1:20" x14ac:dyDescent="0.3">
      <c r="A188" s="4" t="s">
        <v>26</v>
      </c>
      <c r="B188" s="5">
        <v>26</v>
      </c>
      <c r="C188" s="5" t="s">
        <v>35</v>
      </c>
      <c r="D188" s="5">
        <v>120</v>
      </c>
      <c r="E188" s="6">
        <v>44756</v>
      </c>
      <c r="F188" s="5">
        <v>8</v>
      </c>
      <c r="G188" s="5">
        <v>6.5</v>
      </c>
      <c r="H188" s="5">
        <v>70</v>
      </c>
      <c r="I188" s="5">
        <v>3</v>
      </c>
      <c r="J188" s="5">
        <v>42</v>
      </c>
      <c r="K188" s="5">
        <v>69</v>
      </c>
      <c r="L188" s="5">
        <v>5.5</v>
      </c>
      <c r="M188" s="5" t="s">
        <v>27</v>
      </c>
      <c r="N188" s="5">
        <v>20</v>
      </c>
      <c r="O188" s="5" t="s">
        <v>21</v>
      </c>
      <c r="P188" s="5">
        <v>12</v>
      </c>
      <c r="Q188" s="5" t="s">
        <v>22</v>
      </c>
      <c r="R188" s="5">
        <v>10</v>
      </c>
      <c r="S188" s="5">
        <f>YEAR(Table1[[#This Row],[Visitor Date]])</f>
        <v>2022</v>
      </c>
      <c r="T188" s="7" t="str">
        <f>TEXT(Table1[[#This Row],[Visitor Date]],"mmm")</f>
        <v>Jul</v>
      </c>
    </row>
    <row r="189" spans="1:20" x14ac:dyDescent="0.3">
      <c r="A189" s="4" t="s">
        <v>28</v>
      </c>
      <c r="B189" s="5">
        <v>68</v>
      </c>
      <c r="C189" s="5" t="s">
        <v>19</v>
      </c>
      <c r="D189" s="5">
        <v>66</v>
      </c>
      <c r="E189" s="6">
        <v>44757</v>
      </c>
      <c r="F189" s="5">
        <v>15</v>
      </c>
      <c r="G189" s="5">
        <v>91.5</v>
      </c>
      <c r="H189" s="5">
        <v>57</v>
      </c>
      <c r="I189" s="5">
        <v>3.7</v>
      </c>
      <c r="J189" s="5">
        <v>7</v>
      </c>
      <c r="K189" s="5">
        <v>38</v>
      </c>
      <c r="L189" s="5">
        <v>12</v>
      </c>
      <c r="M189" s="5" t="s">
        <v>20</v>
      </c>
      <c r="N189" s="5">
        <v>5.5</v>
      </c>
      <c r="O189" s="5" t="s">
        <v>29</v>
      </c>
      <c r="P189" s="5">
        <v>20</v>
      </c>
      <c r="Q189" s="5" t="s">
        <v>25</v>
      </c>
      <c r="R189" s="5">
        <v>18.5</v>
      </c>
      <c r="S189" s="5">
        <f>YEAR(Table1[[#This Row],[Visitor Date]])</f>
        <v>2022</v>
      </c>
      <c r="T189" s="7" t="str">
        <f>TEXT(Table1[[#This Row],[Visitor Date]],"mmm")</f>
        <v>Jul</v>
      </c>
    </row>
    <row r="190" spans="1:20" x14ac:dyDescent="0.3">
      <c r="A190" s="4" t="s">
        <v>28</v>
      </c>
      <c r="B190" s="5">
        <v>68</v>
      </c>
      <c r="C190" s="5" t="s">
        <v>23</v>
      </c>
      <c r="D190" s="5">
        <v>28</v>
      </c>
      <c r="E190" s="6">
        <v>44758</v>
      </c>
      <c r="F190" s="5">
        <v>12</v>
      </c>
      <c r="G190" s="5">
        <v>89</v>
      </c>
      <c r="H190" s="5">
        <v>53</v>
      </c>
      <c r="I190" s="5">
        <v>3.1</v>
      </c>
      <c r="J190" s="5">
        <v>66</v>
      </c>
      <c r="K190" s="5">
        <v>99</v>
      </c>
      <c r="L190" s="5">
        <v>11.5</v>
      </c>
      <c r="M190" s="5" t="s">
        <v>20</v>
      </c>
      <c r="N190" s="5">
        <v>4.5</v>
      </c>
      <c r="O190" s="5" t="s">
        <v>29</v>
      </c>
      <c r="P190" s="5">
        <v>18</v>
      </c>
      <c r="Q190" s="5" t="s">
        <v>25</v>
      </c>
      <c r="R190" s="5">
        <v>17</v>
      </c>
      <c r="S190" s="5">
        <f>YEAR(Table1[[#This Row],[Visitor Date]])</f>
        <v>2022</v>
      </c>
      <c r="T190" s="7" t="str">
        <f>TEXT(Table1[[#This Row],[Visitor Date]],"mmm")</f>
        <v>Jul</v>
      </c>
    </row>
    <row r="191" spans="1:20" x14ac:dyDescent="0.3">
      <c r="A191" s="4" t="s">
        <v>28</v>
      </c>
      <c r="B191" s="5">
        <v>68</v>
      </c>
      <c r="C191" s="5" t="s">
        <v>35</v>
      </c>
      <c r="D191" s="5">
        <v>55</v>
      </c>
      <c r="E191" s="6">
        <v>44759</v>
      </c>
      <c r="F191" s="5">
        <v>10</v>
      </c>
      <c r="G191" s="5">
        <v>88</v>
      </c>
      <c r="H191" s="5">
        <v>45</v>
      </c>
      <c r="I191" s="5">
        <v>2.9</v>
      </c>
      <c r="J191" s="5">
        <v>64</v>
      </c>
      <c r="K191" s="5">
        <v>55</v>
      </c>
      <c r="L191" s="5">
        <v>10</v>
      </c>
      <c r="M191" s="5" t="s">
        <v>20</v>
      </c>
      <c r="N191" s="5">
        <v>4</v>
      </c>
      <c r="O191" s="5" t="s">
        <v>29</v>
      </c>
      <c r="P191" s="5">
        <v>16.5</v>
      </c>
      <c r="Q191" s="5" t="s">
        <v>25</v>
      </c>
      <c r="R191" s="5">
        <v>15</v>
      </c>
      <c r="S191" s="5">
        <f>YEAR(Table1[[#This Row],[Visitor Date]])</f>
        <v>2022</v>
      </c>
      <c r="T191" s="7" t="str">
        <f>TEXT(Table1[[#This Row],[Visitor Date]],"mmm")</f>
        <v>Jul</v>
      </c>
    </row>
    <row r="192" spans="1:20" x14ac:dyDescent="0.3">
      <c r="A192" s="4" t="s">
        <v>30</v>
      </c>
      <c r="B192" s="5">
        <v>14</v>
      </c>
      <c r="C192" s="5" t="s">
        <v>19</v>
      </c>
      <c r="D192" s="5">
        <v>20</v>
      </c>
      <c r="E192" s="6">
        <v>44760</v>
      </c>
      <c r="F192" s="5">
        <v>18</v>
      </c>
      <c r="G192" s="5">
        <v>72</v>
      </c>
      <c r="H192" s="5">
        <v>42</v>
      </c>
      <c r="I192" s="5">
        <v>4</v>
      </c>
      <c r="J192" s="5">
        <v>60</v>
      </c>
      <c r="K192" s="5">
        <v>98</v>
      </c>
      <c r="L192" s="5">
        <v>14.5</v>
      </c>
      <c r="M192" s="5" t="s">
        <v>27</v>
      </c>
      <c r="N192" s="5">
        <v>21</v>
      </c>
      <c r="O192" s="5" t="s">
        <v>31</v>
      </c>
      <c r="P192" s="5">
        <v>16</v>
      </c>
      <c r="Q192" s="5" t="s">
        <v>25</v>
      </c>
      <c r="R192" s="5">
        <v>15.5</v>
      </c>
      <c r="S192" s="5">
        <f>YEAR(Table1[[#This Row],[Visitor Date]])</f>
        <v>2022</v>
      </c>
      <c r="T192" s="7" t="str">
        <f>TEXT(Table1[[#This Row],[Visitor Date]],"mmm")</f>
        <v>Jul</v>
      </c>
    </row>
    <row r="193" spans="1:20" x14ac:dyDescent="0.3">
      <c r="A193" s="4" t="s">
        <v>30</v>
      </c>
      <c r="B193" s="5">
        <v>14</v>
      </c>
      <c r="C193" s="5" t="s">
        <v>23</v>
      </c>
      <c r="D193" s="5">
        <v>16</v>
      </c>
      <c r="E193" s="6">
        <v>44761</v>
      </c>
      <c r="F193" s="5">
        <v>10</v>
      </c>
      <c r="G193" s="5">
        <v>67</v>
      </c>
      <c r="H193" s="5">
        <v>27</v>
      </c>
      <c r="I193" s="5">
        <v>3.5</v>
      </c>
      <c r="J193" s="5">
        <v>56</v>
      </c>
      <c r="K193" s="5">
        <v>62</v>
      </c>
      <c r="L193" s="5">
        <v>12.5</v>
      </c>
      <c r="M193" s="5" t="s">
        <v>27</v>
      </c>
      <c r="N193" s="5">
        <v>20.5</v>
      </c>
      <c r="O193" s="5" t="s">
        <v>31</v>
      </c>
      <c r="P193" s="5">
        <v>14</v>
      </c>
      <c r="Q193" s="5" t="s">
        <v>25</v>
      </c>
      <c r="R193" s="5">
        <v>13</v>
      </c>
      <c r="S193" s="5">
        <f>YEAR(Table1[[#This Row],[Visitor Date]])</f>
        <v>2022</v>
      </c>
      <c r="T193" s="7" t="str">
        <f>TEXT(Table1[[#This Row],[Visitor Date]],"mmm")</f>
        <v>Jul</v>
      </c>
    </row>
    <row r="194" spans="1:20" x14ac:dyDescent="0.3">
      <c r="A194" s="4" t="s">
        <v>30</v>
      </c>
      <c r="B194" s="5">
        <v>14</v>
      </c>
      <c r="C194" s="5" t="s">
        <v>35</v>
      </c>
      <c r="D194" s="5">
        <v>14</v>
      </c>
      <c r="E194" s="6">
        <v>44762</v>
      </c>
      <c r="F194" s="5">
        <v>9</v>
      </c>
      <c r="G194" s="5">
        <v>66</v>
      </c>
      <c r="H194" s="5">
        <v>25</v>
      </c>
      <c r="I194" s="5">
        <v>3.4</v>
      </c>
      <c r="J194" s="5">
        <v>54</v>
      </c>
      <c r="K194" s="5">
        <v>52</v>
      </c>
      <c r="L194" s="5">
        <v>12</v>
      </c>
      <c r="M194" s="5" t="s">
        <v>27</v>
      </c>
      <c r="N194" s="5">
        <v>19</v>
      </c>
      <c r="O194" s="5" t="s">
        <v>31</v>
      </c>
      <c r="P194" s="5">
        <v>13</v>
      </c>
      <c r="Q194" s="5" t="s">
        <v>25</v>
      </c>
      <c r="R194" s="5">
        <v>12</v>
      </c>
      <c r="S194" s="5">
        <f>YEAR(Table1[[#This Row],[Visitor Date]])</f>
        <v>2022</v>
      </c>
      <c r="T194" s="7" t="str">
        <f>TEXT(Table1[[#This Row],[Visitor Date]],"mmm")</f>
        <v>Jul</v>
      </c>
    </row>
    <row r="195" spans="1:20" x14ac:dyDescent="0.3">
      <c r="A195" s="4" t="s">
        <v>24</v>
      </c>
      <c r="B195" s="5">
        <v>44</v>
      </c>
      <c r="C195" s="5" t="s">
        <v>23</v>
      </c>
      <c r="D195" s="5">
        <v>35</v>
      </c>
      <c r="E195" s="6">
        <v>44763</v>
      </c>
      <c r="F195" s="5">
        <v>32</v>
      </c>
      <c r="G195" s="5">
        <v>85.3</v>
      </c>
      <c r="H195" s="5">
        <v>35</v>
      </c>
      <c r="I195" s="5">
        <v>2.5</v>
      </c>
      <c r="J195" s="5">
        <v>45</v>
      </c>
      <c r="K195" s="5">
        <v>29</v>
      </c>
      <c r="L195" s="5">
        <v>17.5</v>
      </c>
      <c r="M195" s="5" t="s">
        <v>24</v>
      </c>
      <c r="N195" s="5">
        <v>26</v>
      </c>
      <c r="O195" s="5" t="s">
        <v>21</v>
      </c>
      <c r="P195" s="5">
        <v>7.5</v>
      </c>
      <c r="Q195" s="5" t="s">
        <v>25</v>
      </c>
      <c r="R195" s="5">
        <v>6.3</v>
      </c>
      <c r="S195" s="5">
        <f>YEAR(Table1[[#This Row],[Visitor Date]])</f>
        <v>2022</v>
      </c>
      <c r="T195" s="7" t="str">
        <f>TEXT(Table1[[#This Row],[Visitor Date]],"mmm")</f>
        <v>Jul</v>
      </c>
    </row>
    <row r="196" spans="1:20" x14ac:dyDescent="0.3">
      <c r="A196" s="8" t="s">
        <v>26</v>
      </c>
      <c r="B196" s="9">
        <v>26</v>
      </c>
      <c r="C196" s="9" t="s">
        <v>35</v>
      </c>
      <c r="D196" s="9">
        <v>88</v>
      </c>
      <c r="E196" s="10">
        <v>44764</v>
      </c>
      <c r="F196" s="9">
        <v>8</v>
      </c>
      <c r="G196" s="9">
        <v>6.5</v>
      </c>
      <c r="H196" s="9">
        <v>70</v>
      </c>
      <c r="I196" s="9">
        <v>3</v>
      </c>
      <c r="J196" s="9">
        <v>42</v>
      </c>
      <c r="K196" s="9">
        <v>69</v>
      </c>
      <c r="L196" s="9">
        <v>5.5</v>
      </c>
      <c r="M196" s="9" t="s">
        <v>27</v>
      </c>
      <c r="N196" s="9">
        <v>20</v>
      </c>
      <c r="O196" s="9" t="s">
        <v>21</v>
      </c>
      <c r="P196" s="9">
        <v>12</v>
      </c>
      <c r="Q196" s="9" t="s">
        <v>22</v>
      </c>
      <c r="R196" s="9">
        <v>10</v>
      </c>
      <c r="S196" s="9">
        <f>YEAR(Table1[[#This Row],[Visitor Date]])</f>
        <v>2022</v>
      </c>
      <c r="T196" s="11" t="str">
        <f>TEXT(Table1[[#This Row],[Visitor Date]],"mmm")</f>
        <v>Jul</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C79AB-A487-437C-98EB-2A51074BDAFA}">
  <sheetPr codeName="Sheet2"/>
  <dimension ref="A1:T198"/>
  <sheetViews>
    <sheetView topLeftCell="A3" workbookViewId="0">
      <selection activeCell="A3" sqref="A3:T198"/>
    </sheetView>
  </sheetViews>
  <sheetFormatPr defaultRowHeight="14.4" x14ac:dyDescent="0.3"/>
  <cols>
    <col min="1" max="1" width="20.6640625" bestFit="1" customWidth="1"/>
    <col min="2" max="2" width="17.88671875" bestFit="1" customWidth="1"/>
    <col min="3" max="3" width="13.88671875" bestFit="1" customWidth="1"/>
    <col min="4" max="4" width="15.109375" bestFit="1" customWidth="1"/>
    <col min="5" max="5" width="13.88671875" bestFit="1" customWidth="1"/>
    <col min="6" max="6" width="22" bestFit="1" customWidth="1"/>
    <col min="7" max="7" width="16.6640625" bestFit="1" customWidth="1"/>
    <col min="8" max="8" width="28.44140625" bestFit="1" customWidth="1"/>
    <col min="9" max="9" width="16.5546875" bestFit="1" customWidth="1"/>
    <col min="10" max="10" width="14.5546875" bestFit="1" customWidth="1"/>
    <col min="11" max="11" width="18.33203125" bestFit="1" customWidth="1"/>
    <col min="12" max="12" width="25.33203125" bestFit="1" customWidth="1"/>
    <col min="13" max="13" width="11.44140625" bestFit="1" customWidth="1"/>
    <col min="14" max="14" width="25.5546875" bestFit="1" customWidth="1"/>
    <col min="15" max="15" width="18.109375" bestFit="1" customWidth="1"/>
    <col min="16" max="16" width="27" bestFit="1" customWidth="1"/>
    <col min="17" max="17" width="13.33203125" bestFit="1" customWidth="1"/>
    <col min="18" max="18" width="22.109375" bestFit="1" customWidth="1"/>
    <col min="19" max="20" width="9.33203125" bestFit="1" customWidth="1"/>
  </cols>
  <sheetData>
    <row r="1" spans="1:20" x14ac:dyDescent="0.3">
      <c r="A1" s="21" t="s">
        <v>58</v>
      </c>
    </row>
    <row r="3" spans="1:20"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36</v>
      </c>
      <c r="T3" t="s">
        <v>37</v>
      </c>
    </row>
    <row r="4" spans="1:20" x14ac:dyDescent="0.3">
      <c r="A4" t="s">
        <v>28</v>
      </c>
      <c r="B4">
        <v>68</v>
      </c>
      <c r="C4" t="s">
        <v>19</v>
      </c>
      <c r="D4">
        <v>155</v>
      </c>
      <c r="E4" s="20">
        <v>44576</v>
      </c>
      <c r="F4">
        <v>15</v>
      </c>
      <c r="G4">
        <v>90</v>
      </c>
      <c r="H4">
        <v>54</v>
      </c>
      <c r="I4">
        <v>3.4</v>
      </c>
      <c r="J4">
        <v>67.8</v>
      </c>
      <c r="K4">
        <v>34</v>
      </c>
      <c r="L4">
        <v>11</v>
      </c>
      <c r="M4" t="s">
        <v>20</v>
      </c>
      <c r="N4">
        <v>5.3</v>
      </c>
      <c r="O4" t="s">
        <v>29</v>
      </c>
      <c r="P4">
        <v>20.5</v>
      </c>
      <c r="Q4" t="s">
        <v>25</v>
      </c>
      <c r="R4">
        <v>19.5</v>
      </c>
      <c r="S4">
        <v>2022</v>
      </c>
      <c r="T4" t="s">
        <v>47</v>
      </c>
    </row>
    <row r="5" spans="1:20" x14ac:dyDescent="0.3">
      <c r="A5" t="s">
        <v>28</v>
      </c>
      <c r="B5">
        <v>68</v>
      </c>
      <c r="C5" t="s">
        <v>23</v>
      </c>
      <c r="D5">
        <v>28</v>
      </c>
      <c r="E5" s="20">
        <v>44577</v>
      </c>
      <c r="F5">
        <v>10</v>
      </c>
      <c r="G5">
        <v>88</v>
      </c>
      <c r="H5">
        <v>50</v>
      </c>
      <c r="I5">
        <v>3</v>
      </c>
      <c r="J5">
        <v>4</v>
      </c>
      <c r="K5">
        <v>28</v>
      </c>
      <c r="L5">
        <v>10.199999999999999</v>
      </c>
      <c r="M5" t="s">
        <v>20</v>
      </c>
      <c r="N5">
        <v>4.8</v>
      </c>
      <c r="O5" t="s">
        <v>29</v>
      </c>
      <c r="P5">
        <v>19.7</v>
      </c>
      <c r="Q5" t="s">
        <v>25</v>
      </c>
      <c r="R5">
        <v>18</v>
      </c>
      <c r="S5">
        <v>2022</v>
      </c>
      <c r="T5" t="s">
        <v>47</v>
      </c>
    </row>
    <row r="6" spans="1:20" x14ac:dyDescent="0.3">
      <c r="A6" t="s">
        <v>28</v>
      </c>
      <c r="B6">
        <v>68</v>
      </c>
      <c r="C6" t="s">
        <v>19</v>
      </c>
      <c r="D6">
        <v>150</v>
      </c>
      <c r="E6" s="20">
        <v>44588</v>
      </c>
      <c r="F6">
        <v>13</v>
      </c>
      <c r="G6">
        <v>90</v>
      </c>
      <c r="H6">
        <v>54</v>
      </c>
      <c r="I6">
        <v>3.5</v>
      </c>
      <c r="J6">
        <v>67.8</v>
      </c>
      <c r="K6">
        <v>33</v>
      </c>
      <c r="L6">
        <v>11</v>
      </c>
      <c r="M6" t="s">
        <v>20</v>
      </c>
      <c r="N6">
        <v>5.3</v>
      </c>
      <c r="O6" t="s">
        <v>29</v>
      </c>
      <c r="P6">
        <v>20.5</v>
      </c>
      <c r="Q6" t="s">
        <v>25</v>
      </c>
      <c r="R6">
        <v>19.5</v>
      </c>
      <c r="S6">
        <v>2022</v>
      </c>
      <c r="T6" t="s">
        <v>47</v>
      </c>
    </row>
    <row r="7" spans="1:20" x14ac:dyDescent="0.3">
      <c r="A7" t="s">
        <v>28</v>
      </c>
      <c r="B7">
        <v>68</v>
      </c>
      <c r="C7" t="s">
        <v>23</v>
      </c>
      <c r="D7">
        <v>30</v>
      </c>
      <c r="E7" s="20">
        <v>44589</v>
      </c>
      <c r="F7">
        <v>11</v>
      </c>
      <c r="G7">
        <v>88</v>
      </c>
      <c r="H7">
        <v>50</v>
      </c>
      <c r="I7">
        <v>3.2</v>
      </c>
      <c r="J7">
        <v>64</v>
      </c>
      <c r="K7">
        <v>28</v>
      </c>
      <c r="L7">
        <v>10.199999999999999</v>
      </c>
      <c r="M7" t="s">
        <v>20</v>
      </c>
      <c r="N7">
        <v>4.8</v>
      </c>
      <c r="O7" t="s">
        <v>29</v>
      </c>
      <c r="P7">
        <v>19.7</v>
      </c>
      <c r="Q7" t="s">
        <v>25</v>
      </c>
      <c r="R7">
        <v>18</v>
      </c>
      <c r="S7">
        <v>2022</v>
      </c>
      <c r="T7" t="s">
        <v>47</v>
      </c>
    </row>
    <row r="8" spans="1:20" x14ac:dyDescent="0.3">
      <c r="A8" t="s">
        <v>28</v>
      </c>
      <c r="B8">
        <v>68</v>
      </c>
      <c r="C8" t="s">
        <v>19</v>
      </c>
      <c r="D8">
        <v>439</v>
      </c>
      <c r="E8" s="20">
        <v>44600</v>
      </c>
      <c r="F8">
        <v>11</v>
      </c>
      <c r="G8">
        <v>90</v>
      </c>
      <c r="H8">
        <v>54</v>
      </c>
      <c r="I8">
        <v>3.3</v>
      </c>
      <c r="J8">
        <v>7.8</v>
      </c>
      <c r="K8">
        <v>33</v>
      </c>
      <c r="L8">
        <v>11</v>
      </c>
      <c r="M8" t="s">
        <v>20</v>
      </c>
      <c r="N8">
        <v>5.3</v>
      </c>
      <c r="O8" t="s">
        <v>29</v>
      </c>
      <c r="P8">
        <v>20.5</v>
      </c>
      <c r="Q8" t="s">
        <v>25</v>
      </c>
      <c r="R8">
        <v>19.5</v>
      </c>
      <c r="S8">
        <v>2022</v>
      </c>
      <c r="T8" t="s">
        <v>48</v>
      </c>
    </row>
    <row r="9" spans="1:20" x14ac:dyDescent="0.3">
      <c r="A9" t="s">
        <v>28</v>
      </c>
      <c r="B9">
        <v>68</v>
      </c>
      <c r="C9" t="s">
        <v>23</v>
      </c>
      <c r="D9">
        <v>350</v>
      </c>
      <c r="E9" s="20">
        <v>44601</v>
      </c>
      <c r="F9">
        <v>9</v>
      </c>
      <c r="G9">
        <v>88</v>
      </c>
      <c r="H9">
        <v>50</v>
      </c>
      <c r="I9">
        <v>3.1</v>
      </c>
      <c r="J9">
        <v>64</v>
      </c>
      <c r="K9">
        <v>29</v>
      </c>
      <c r="L9">
        <v>10.199999999999999</v>
      </c>
      <c r="M9" t="s">
        <v>20</v>
      </c>
      <c r="N9">
        <v>4.8</v>
      </c>
      <c r="O9" t="s">
        <v>29</v>
      </c>
      <c r="P9">
        <v>19.7</v>
      </c>
      <c r="Q9" t="s">
        <v>25</v>
      </c>
      <c r="R9">
        <v>18</v>
      </c>
      <c r="S9">
        <v>2022</v>
      </c>
      <c r="T9" t="s">
        <v>48</v>
      </c>
    </row>
    <row r="10" spans="1:20" x14ac:dyDescent="0.3">
      <c r="A10" t="s">
        <v>28</v>
      </c>
      <c r="B10">
        <v>68</v>
      </c>
      <c r="C10" t="s">
        <v>19</v>
      </c>
      <c r="D10">
        <v>43</v>
      </c>
      <c r="E10" s="20">
        <v>44612</v>
      </c>
      <c r="F10">
        <v>11</v>
      </c>
      <c r="G10">
        <v>90</v>
      </c>
      <c r="H10">
        <v>54</v>
      </c>
      <c r="I10">
        <v>3.3</v>
      </c>
      <c r="J10">
        <v>7.8</v>
      </c>
      <c r="K10">
        <v>33</v>
      </c>
      <c r="L10">
        <v>11</v>
      </c>
      <c r="M10" t="s">
        <v>20</v>
      </c>
      <c r="N10">
        <v>5.3</v>
      </c>
      <c r="O10" t="s">
        <v>29</v>
      </c>
      <c r="P10">
        <v>20.5</v>
      </c>
      <c r="Q10" t="s">
        <v>25</v>
      </c>
      <c r="R10">
        <v>19.5</v>
      </c>
      <c r="S10">
        <v>2022</v>
      </c>
      <c r="T10" t="s">
        <v>48</v>
      </c>
    </row>
    <row r="11" spans="1:20" x14ac:dyDescent="0.3">
      <c r="A11" t="s">
        <v>28</v>
      </c>
      <c r="B11">
        <v>68</v>
      </c>
      <c r="C11" t="s">
        <v>23</v>
      </c>
      <c r="D11">
        <v>35</v>
      </c>
      <c r="E11" s="20">
        <v>44613</v>
      </c>
      <c r="F11">
        <v>9</v>
      </c>
      <c r="G11">
        <v>88</v>
      </c>
      <c r="H11">
        <v>50</v>
      </c>
      <c r="I11">
        <v>3.1</v>
      </c>
      <c r="J11">
        <v>4</v>
      </c>
      <c r="K11">
        <v>29</v>
      </c>
      <c r="L11">
        <v>10.199999999999999</v>
      </c>
      <c r="M11" t="s">
        <v>20</v>
      </c>
      <c r="N11">
        <v>4.8</v>
      </c>
      <c r="O11" t="s">
        <v>29</v>
      </c>
      <c r="P11">
        <v>19.7</v>
      </c>
      <c r="Q11" t="s">
        <v>25</v>
      </c>
      <c r="R11">
        <v>18</v>
      </c>
      <c r="S11">
        <v>2022</v>
      </c>
      <c r="T11" t="s">
        <v>48</v>
      </c>
    </row>
    <row r="12" spans="1:20" x14ac:dyDescent="0.3">
      <c r="A12" t="s">
        <v>28</v>
      </c>
      <c r="B12">
        <v>68</v>
      </c>
      <c r="C12" t="s">
        <v>19</v>
      </c>
      <c r="D12">
        <v>143</v>
      </c>
      <c r="E12" s="20">
        <v>44624</v>
      </c>
      <c r="F12">
        <v>11</v>
      </c>
      <c r="G12">
        <v>90</v>
      </c>
      <c r="H12">
        <v>54</v>
      </c>
      <c r="I12">
        <v>3.3</v>
      </c>
      <c r="J12">
        <v>67.8</v>
      </c>
      <c r="K12">
        <v>33</v>
      </c>
      <c r="L12">
        <v>11</v>
      </c>
      <c r="M12" t="s">
        <v>20</v>
      </c>
      <c r="N12">
        <v>5.3</v>
      </c>
      <c r="O12" t="s">
        <v>29</v>
      </c>
      <c r="P12">
        <v>20.5</v>
      </c>
      <c r="Q12" t="s">
        <v>25</v>
      </c>
      <c r="R12">
        <v>19.5</v>
      </c>
      <c r="S12">
        <v>2022</v>
      </c>
      <c r="T12" t="s">
        <v>49</v>
      </c>
    </row>
    <row r="13" spans="1:20" x14ac:dyDescent="0.3">
      <c r="A13" t="s">
        <v>28</v>
      </c>
      <c r="B13">
        <v>68</v>
      </c>
      <c r="C13" t="s">
        <v>23</v>
      </c>
      <c r="D13">
        <v>35</v>
      </c>
      <c r="E13" s="20">
        <v>44625</v>
      </c>
      <c r="F13">
        <v>9</v>
      </c>
      <c r="G13">
        <v>88</v>
      </c>
      <c r="H13">
        <v>50</v>
      </c>
      <c r="I13">
        <v>3.1</v>
      </c>
      <c r="J13">
        <v>64</v>
      </c>
      <c r="K13">
        <v>29</v>
      </c>
      <c r="L13">
        <v>10.199999999999999</v>
      </c>
      <c r="M13" t="s">
        <v>20</v>
      </c>
      <c r="N13">
        <v>4.8</v>
      </c>
      <c r="O13" t="s">
        <v>29</v>
      </c>
      <c r="P13">
        <v>19.7</v>
      </c>
      <c r="Q13" t="s">
        <v>25</v>
      </c>
      <c r="R13">
        <v>18</v>
      </c>
      <c r="S13">
        <v>2022</v>
      </c>
      <c r="T13" t="s">
        <v>49</v>
      </c>
    </row>
    <row r="14" spans="1:20" x14ac:dyDescent="0.3">
      <c r="A14" t="s">
        <v>28</v>
      </c>
      <c r="B14">
        <v>68</v>
      </c>
      <c r="C14" t="s">
        <v>19</v>
      </c>
      <c r="D14">
        <v>60</v>
      </c>
      <c r="E14" s="20">
        <v>44636</v>
      </c>
      <c r="F14">
        <v>16</v>
      </c>
      <c r="G14">
        <v>90</v>
      </c>
      <c r="H14">
        <v>54</v>
      </c>
      <c r="I14">
        <v>3.5</v>
      </c>
      <c r="J14">
        <v>67.8</v>
      </c>
      <c r="K14">
        <v>34</v>
      </c>
      <c r="L14">
        <v>11</v>
      </c>
      <c r="M14" t="s">
        <v>20</v>
      </c>
      <c r="N14">
        <v>5.3</v>
      </c>
      <c r="O14" t="s">
        <v>29</v>
      </c>
      <c r="P14">
        <v>20.5</v>
      </c>
      <c r="Q14" t="s">
        <v>25</v>
      </c>
      <c r="R14">
        <v>19.5</v>
      </c>
      <c r="S14">
        <v>2022</v>
      </c>
      <c r="T14" t="s">
        <v>49</v>
      </c>
    </row>
    <row r="15" spans="1:20" x14ac:dyDescent="0.3">
      <c r="A15" t="s">
        <v>28</v>
      </c>
      <c r="B15">
        <v>68</v>
      </c>
      <c r="C15" t="s">
        <v>23</v>
      </c>
      <c r="D15">
        <v>333</v>
      </c>
      <c r="E15" s="20">
        <v>44637</v>
      </c>
      <c r="F15">
        <v>12</v>
      </c>
      <c r="G15">
        <v>88</v>
      </c>
      <c r="H15">
        <v>50</v>
      </c>
      <c r="I15">
        <v>3.2</v>
      </c>
      <c r="J15">
        <v>64</v>
      </c>
      <c r="K15">
        <v>29</v>
      </c>
      <c r="L15">
        <v>10.199999999999999</v>
      </c>
      <c r="M15" t="s">
        <v>20</v>
      </c>
      <c r="N15">
        <v>4.8</v>
      </c>
      <c r="O15" t="s">
        <v>29</v>
      </c>
      <c r="P15">
        <v>19.7</v>
      </c>
      <c r="Q15" t="s">
        <v>25</v>
      </c>
      <c r="R15">
        <v>18</v>
      </c>
      <c r="S15">
        <v>2022</v>
      </c>
      <c r="T15" t="s">
        <v>49</v>
      </c>
    </row>
    <row r="16" spans="1:20" x14ac:dyDescent="0.3">
      <c r="A16" t="s">
        <v>28</v>
      </c>
      <c r="B16">
        <v>68</v>
      </c>
      <c r="C16" t="s">
        <v>19</v>
      </c>
      <c r="D16">
        <v>160</v>
      </c>
      <c r="E16" s="20">
        <v>44648</v>
      </c>
      <c r="F16">
        <v>16</v>
      </c>
      <c r="G16">
        <v>90</v>
      </c>
      <c r="H16">
        <v>54</v>
      </c>
      <c r="I16">
        <v>3.5</v>
      </c>
      <c r="J16">
        <v>67.8</v>
      </c>
      <c r="K16">
        <v>34</v>
      </c>
      <c r="L16">
        <v>11</v>
      </c>
      <c r="M16" t="s">
        <v>20</v>
      </c>
      <c r="N16">
        <v>5.3</v>
      </c>
      <c r="O16" t="s">
        <v>29</v>
      </c>
      <c r="P16">
        <v>20.5</v>
      </c>
      <c r="Q16" t="s">
        <v>25</v>
      </c>
      <c r="R16">
        <v>19.5</v>
      </c>
      <c r="S16">
        <v>2022</v>
      </c>
      <c r="T16" t="s">
        <v>49</v>
      </c>
    </row>
    <row r="17" spans="1:20" x14ac:dyDescent="0.3">
      <c r="A17" t="s">
        <v>28</v>
      </c>
      <c r="B17">
        <v>68</v>
      </c>
      <c r="C17" t="s">
        <v>23</v>
      </c>
      <c r="D17">
        <v>3</v>
      </c>
      <c r="E17" s="20">
        <v>44649</v>
      </c>
      <c r="F17">
        <v>12</v>
      </c>
      <c r="G17">
        <v>88</v>
      </c>
      <c r="H17">
        <v>50</v>
      </c>
      <c r="I17">
        <v>3.2</v>
      </c>
      <c r="J17">
        <v>4</v>
      </c>
      <c r="K17">
        <v>29</v>
      </c>
      <c r="L17">
        <v>10.199999999999999</v>
      </c>
      <c r="M17" t="s">
        <v>20</v>
      </c>
      <c r="N17">
        <v>4.8</v>
      </c>
      <c r="O17" t="s">
        <v>29</v>
      </c>
      <c r="P17">
        <v>19.7</v>
      </c>
      <c r="Q17" t="s">
        <v>25</v>
      </c>
      <c r="R17">
        <v>18</v>
      </c>
      <c r="S17">
        <v>2022</v>
      </c>
      <c r="T17" t="s">
        <v>49</v>
      </c>
    </row>
    <row r="18" spans="1:20" x14ac:dyDescent="0.3">
      <c r="A18" t="s">
        <v>28</v>
      </c>
      <c r="B18">
        <v>68</v>
      </c>
      <c r="C18" t="s">
        <v>19</v>
      </c>
      <c r="D18">
        <v>61</v>
      </c>
      <c r="E18" s="20">
        <v>44660</v>
      </c>
      <c r="F18">
        <v>14</v>
      </c>
      <c r="G18">
        <v>91.5</v>
      </c>
      <c r="H18">
        <v>55</v>
      </c>
      <c r="I18">
        <v>3.6</v>
      </c>
      <c r="J18">
        <v>68</v>
      </c>
      <c r="K18">
        <v>35</v>
      </c>
      <c r="L18">
        <v>12</v>
      </c>
      <c r="M18" t="s">
        <v>20</v>
      </c>
      <c r="N18">
        <v>5</v>
      </c>
      <c r="O18" t="s">
        <v>29</v>
      </c>
      <c r="P18">
        <v>18</v>
      </c>
      <c r="Q18" t="s">
        <v>25</v>
      </c>
      <c r="R18">
        <v>19</v>
      </c>
      <c r="S18">
        <v>2022</v>
      </c>
      <c r="T18" t="s">
        <v>50</v>
      </c>
    </row>
    <row r="19" spans="1:20" x14ac:dyDescent="0.3">
      <c r="A19" t="s">
        <v>28</v>
      </c>
      <c r="B19">
        <v>68</v>
      </c>
      <c r="C19" t="s">
        <v>23</v>
      </c>
      <c r="D19">
        <v>130</v>
      </c>
      <c r="E19" s="20">
        <v>44661</v>
      </c>
      <c r="F19">
        <v>11</v>
      </c>
      <c r="G19">
        <v>89</v>
      </c>
      <c r="H19">
        <v>53</v>
      </c>
      <c r="I19">
        <v>3</v>
      </c>
      <c r="J19">
        <v>65</v>
      </c>
      <c r="K19">
        <v>28</v>
      </c>
      <c r="L19">
        <v>10</v>
      </c>
      <c r="M19" t="s">
        <v>20</v>
      </c>
      <c r="N19">
        <v>4.5</v>
      </c>
      <c r="O19" t="s">
        <v>29</v>
      </c>
      <c r="P19">
        <v>16</v>
      </c>
      <c r="Q19" t="s">
        <v>25</v>
      </c>
      <c r="R19">
        <v>17</v>
      </c>
      <c r="S19">
        <v>2022</v>
      </c>
      <c r="T19" t="s">
        <v>50</v>
      </c>
    </row>
    <row r="20" spans="1:20" x14ac:dyDescent="0.3">
      <c r="A20" t="s">
        <v>28</v>
      </c>
      <c r="B20">
        <v>68</v>
      </c>
      <c r="C20" t="s">
        <v>19</v>
      </c>
      <c r="D20">
        <v>60</v>
      </c>
      <c r="E20" s="20">
        <v>44681</v>
      </c>
      <c r="F20">
        <v>16</v>
      </c>
      <c r="G20">
        <v>90</v>
      </c>
      <c r="H20">
        <v>54</v>
      </c>
      <c r="I20">
        <v>3.5</v>
      </c>
      <c r="J20">
        <v>7.8</v>
      </c>
      <c r="K20">
        <v>34</v>
      </c>
      <c r="L20">
        <v>11</v>
      </c>
      <c r="M20" t="s">
        <v>20</v>
      </c>
      <c r="N20">
        <v>5.3</v>
      </c>
      <c r="O20" t="s">
        <v>29</v>
      </c>
      <c r="P20">
        <v>20.5</v>
      </c>
      <c r="Q20" t="s">
        <v>25</v>
      </c>
      <c r="R20">
        <v>19.5</v>
      </c>
      <c r="S20">
        <v>2022</v>
      </c>
      <c r="T20" t="s">
        <v>50</v>
      </c>
    </row>
    <row r="21" spans="1:20" x14ac:dyDescent="0.3">
      <c r="A21" t="s">
        <v>28</v>
      </c>
      <c r="B21">
        <v>68</v>
      </c>
      <c r="C21" t="s">
        <v>23</v>
      </c>
      <c r="D21">
        <v>3</v>
      </c>
      <c r="E21" s="20">
        <v>44682</v>
      </c>
      <c r="F21">
        <v>12</v>
      </c>
      <c r="G21">
        <v>88</v>
      </c>
      <c r="H21">
        <v>50</v>
      </c>
      <c r="I21">
        <v>3.2</v>
      </c>
      <c r="J21">
        <v>6</v>
      </c>
      <c r="K21">
        <v>29</v>
      </c>
      <c r="L21">
        <v>10.199999999999999</v>
      </c>
      <c r="M21" t="s">
        <v>20</v>
      </c>
      <c r="N21">
        <v>4.8</v>
      </c>
      <c r="O21" t="s">
        <v>29</v>
      </c>
      <c r="P21">
        <v>19.7</v>
      </c>
      <c r="Q21" t="s">
        <v>25</v>
      </c>
      <c r="R21">
        <v>18</v>
      </c>
      <c r="S21">
        <v>2022</v>
      </c>
      <c r="T21" t="s">
        <v>51</v>
      </c>
    </row>
    <row r="22" spans="1:20" x14ac:dyDescent="0.3">
      <c r="A22" t="s">
        <v>28</v>
      </c>
      <c r="B22">
        <v>68</v>
      </c>
      <c r="C22" t="s">
        <v>35</v>
      </c>
      <c r="D22">
        <v>5</v>
      </c>
      <c r="E22" s="20">
        <v>44683</v>
      </c>
      <c r="F22">
        <v>10</v>
      </c>
      <c r="G22">
        <v>89</v>
      </c>
      <c r="H22">
        <v>45</v>
      </c>
      <c r="I22">
        <v>3</v>
      </c>
      <c r="J22">
        <v>6</v>
      </c>
      <c r="K22">
        <v>60</v>
      </c>
      <c r="L22">
        <v>9.5</v>
      </c>
      <c r="M22" t="s">
        <v>20</v>
      </c>
      <c r="N22">
        <v>4</v>
      </c>
      <c r="O22" t="s">
        <v>29</v>
      </c>
      <c r="P22">
        <v>18</v>
      </c>
      <c r="Q22" t="s">
        <v>25</v>
      </c>
      <c r="R22">
        <v>16</v>
      </c>
      <c r="S22">
        <v>2022</v>
      </c>
      <c r="T22" t="s">
        <v>51</v>
      </c>
    </row>
    <row r="23" spans="1:20" x14ac:dyDescent="0.3">
      <c r="A23" t="s">
        <v>28</v>
      </c>
      <c r="B23">
        <v>68</v>
      </c>
      <c r="C23" t="s">
        <v>19</v>
      </c>
      <c r="D23">
        <v>6</v>
      </c>
      <c r="E23" s="20">
        <v>44698</v>
      </c>
      <c r="F23">
        <v>14</v>
      </c>
      <c r="G23">
        <v>91.5</v>
      </c>
      <c r="H23">
        <v>55</v>
      </c>
      <c r="I23">
        <v>3.6</v>
      </c>
      <c r="J23">
        <v>8</v>
      </c>
      <c r="K23">
        <v>35</v>
      </c>
      <c r="L23">
        <v>12</v>
      </c>
      <c r="M23" t="s">
        <v>20</v>
      </c>
      <c r="N23">
        <v>5</v>
      </c>
      <c r="O23" t="s">
        <v>29</v>
      </c>
      <c r="P23">
        <v>18</v>
      </c>
      <c r="Q23" t="s">
        <v>25</v>
      </c>
      <c r="R23">
        <v>19</v>
      </c>
      <c r="S23">
        <v>2022</v>
      </c>
      <c r="T23" t="s">
        <v>51</v>
      </c>
    </row>
    <row r="24" spans="1:20" x14ac:dyDescent="0.3">
      <c r="A24" t="s">
        <v>28</v>
      </c>
      <c r="B24">
        <v>68</v>
      </c>
      <c r="C24" t="s">
        <v>23</v>
      </c>
      <c r="D24">
        <v>30</v>
      </c>
      <c r="E24" s="20">
        <v>44699</v>
      </c>
      <c r="F24">
        <v>11</v>
      </c>
      <c r="G24">
        <v>89</v>
      </c>
      <c r="H24">
        <v>53</v>
      </c>
      <c r="I24">
        <v>3</v>
      </c>
      <c r="J24">
        <v>6</v>
      </c>
      <c r="K24">
        <v>28</v>
      </c>
      <c r="L24">
        <v>10</v>
      </c>
      <c r="M24" t="s">
        <v>20</v>
      </c>
      <c r="N24">
        <v>4.5</v>
      </c>
      <c r="O24" t="s">
        <v>29</v>
      </c>
      <c r="P24">
        <v>16</v>
      </c>
      <c r="Q24" t="s">
        <v>25</v>
      </c>
      <c r="R24">
        <v>17</v>
      </c>
      <c r="S24">
        <v>2022</v>
      </c>
      <c r="T24" t="s">
        <v>51</v>
      </c>
    </row>
    <row r="25" spans="1:20" x14ac:dyDescent="0.3">
      <c r="A25" t="s">
        <v>28</v>
      </c>
      <c r="B25">
        <v>68</v>
      </c>
      <c r="C25" t="s">
        <v>35</v>
      </c>
      <c r="D25">
        <v>0</v>
      </c>
      <c r="E25" s="20">
        <v>44700</v>
      </c>
      <c r="F25">
        <v>9</v>
      </c>
      <c r="G25">
        <v>88</v>
      </c>
      <c r="H25">
        <v>45</v>
      </c>
      <c r="I25">
        <v>2.8</v>
      </c>
      <c r="J25">
        <v>63</v>
      </c>
      <c r="K25">
        <v>45</v>
      </c>
      <c r="L25">
        <v>9</v>
      </c>
      <c r="M25" t="s">
        <v>20</v>
      </c>
      <c r="N25">
        <v>4</v>
      </c>
      <c r="O25" t="s">
        <v>29</v>
      </c>
      <c r="P25">
        <v>15</v>
      </c>
      <c r="Q25" t="s">
        <v>25</v>
      </c>
      <c r="R25">
        <v>16</v>
      </c>
      <c r="S25">
        <v>2022</v>
      </c>
      <c r="T25" t="s">
        <v>51</v>
      </c>
    </row>
    <row r="26" spans="1:20" x14ac:dyDescent="0.3">
      <c r="A26" t="s">
        <v>28</v>
      </c>
      <c r="B26">
        <v>68</v>
      </c>
      <c r="C26" t="s">
        <v>23</v>
      </c>
      <c r="D26">
        <v>64</v>
      </c>
      <c r="E26" s="20">
        <v>44731</v>
      </c>
      <c r="F26">
        <v>11</v>
      </c>
      <c r="G26">
        <v>90</v>
      </c>
      <c r="H26">
        <v>54</v>
      </c>
      <c r="I26">
        <v>3.3</v>
      </c>
      <c r="J26">
        <v>7.8</v>
      </c>
      <c r="K26">
        <v>38</v>
      </c>
      <c r="L26">
        <v>11</v>
      </c>
      <c r="M26" t="s">
        <v>20</v>
      </c>
      <c r="N26">
        <v>5.3</v>
      </c>
      <c r="O26" t="s">
        <v>29</v>
      </c>
      <c r="P26">
        <v>20.5</v>
      </c>
      <c r="Q26" t="s">
        <v>25</v>
      </c>
      <c r="R26">
        <v>19.5</v>
      </c>
      <c r="S26">
        <v>2022</v>
      </c>
      <c r="T26" t="s">
        <v>52</v>
      </c>
    </row>
    <row r="27" spans="1:20" x14ac:dyDescent="0.3">
      <c r="A27" t="s">
        <v>28</v>
      </c>
      <c r="B27">
        <v>68</v>
      </c>
      <c r="C27" t="s">
        <v>19</v>
      </c>
      <c r="D27">
        <v>62</v>
      </c>
      <c r="E27" s="20">
        <v>44742</v>
      </c>
      <c r="F27">
        <v>15</v>
      </c>
      <c r="G27">
        <v>91.5</v>
      </c>
      <c r="H27">
        <v>57</v>
      </c>
      <c r="I27">
        <v>3.7</v>
      </c>
      <c r="J27">
        <v>6</v>
      </c>
      <c r="K27">
        <v>38</v>
      </c>
      <c r="L27">
        <v>12</v>
      </c>
      <c r="M27" t="s">
        <v>20</v>
      </c>
      <c r="N27">
        <v>5.5</v>
      </c>
      <c r="O27" t="s">
        <v>29</v>
      </c>
      <c r="P27">
        <v>20</v>
      </c>
      <c r="Q27" t="s">
        <v>25</v>
      </c>
      <c r="R27">
        <v>18.5</v>
      </c>
      <c r="S27">
        <v>2022</v>
      </c>
      <c r="T27" t="s">
        <v>52</v>
      </c>
    </row>
    <row r="28" spans="1:20" x14ac:dyDescent="0.3">
      <c r="A28" t="s">
        <v>28</v>
      </c>
      <c r="B28">
        <v>68</v>
      </c>
      <c r="C28" t="s">
        <v>23</v>
      </c>
      <c r="D28">
        <v>28</v>
      </c>
      <c r="E28" s="20">
        <v>44743</v>
      </c>
      <c r="F28">
        <v>12</v>
      </c>
      <c r="G28">
        <v>89</v>
      </c>
      <c r="H28">
        <v>53</v>
      </c>
      <c r="I28">
        <v>3.1</v>
      </c>
      <c r="K28">
        <v>99</v>
      </c>
      <c r="L28">
        <v>11.5</v>
      </c>
      <c r="M28" t="s">
        <v>20</v>
      </c>
      <c r="N28">
        <v>4.5</v>
      </c>
      <c r="O28" t="s">
        <v>29</v>
      </c>
      <c r="P28">
        <v>18</v>
      </c>
      <c r="Q28" t="s">
        <v>25</v>
      </c>
      <c r="R28">
        <v>17</v>
      </c>
      <c r="S28">
        <v>2022</v>
      </c>
      <c r="T28" t="s">
        <v>53</v>
      </c>
    </row>
    <row r="29" spans="1:20" x14ac:dyDescent="0.3">
      <c r="A29" t="s">
        <v>28</v>
      </c>
      <c r="B29">
        <v>68</v>
      </c>
      <c r="C29" t="s">
        <v>35</v>
      </c>
      <c r="D29">
        <v>115</v>
      </c>
      <c r="E29" s="20">
        <v>44744</v>
      </c>
      <c r="F29">
        <v>10</v>
      </c>
      <c r="G29">
        <v>88</v>
      </c>
      <c r="H29">
        <v>45</v>
      </c>
      <c r="I29">
        <v>2.9</v>
      </c>
      <c r="J29">
        <v>64</v>
      </c>
      <c r="K29">
        <v>55</v>
      </c>
      <c r="L29">
        <v>10</v>
      </c>
      <c r="M29" t="s">
        <v>20</v>
      </c>
      <c r="N29">
        <v>4</v>
      </c>
      <c r="O29" t="s">
        <v>29</v>
      </c>
      <c r="P29">
        <v>16.5</v>
      </c>
      <c r="Q29" t="s">
        <v>25</v>
      </c>
      <c r="R29">
        <v>15</v>
      </c>
      <c r="S29">
        <v>2022</v>
      </c>
      <c r="T29" t="s">
        <v>53</v>
      </c>
    </row>
    <row r="30" spans="1:20" x14ac:dyDescent="0.3">
      <c r="A30" t="s">
        <v>28</v>
      </c>
      <c r="B30">
        <v>68</v>
      </c>
      <c r="C30" t="s">
        <v>19</v>
      </c>
      <c r="D30">
        <v>66</v>
      </c>
      <c r="E30" s="20">
        <v>44757</v>
      </c>
      <c r="F30">
        <v>15</v>
      </c>
      <c r="G30">
        <v>91.5</v>
      </c>
      <c r="H30">
        <v>57</v>
      </c>
      <c r="I30">
        <v>3.7</v>
      </c>
      <c r="J30">
        <v>7</v>
      </c>
      <c r="K30">
        <v>38</v>
      </c>
      <c r="L30">
        <v>12</v>
      </c>
      <c r="M30" t="s">
        <v>20</v>
      </c>
      <c r="N30">
        <v>5.5</v>
      </c>
      <c r="O30" t="s">
        <v>29</v>
      </c>
      <c r="P30">
        <v>20</v>
      </c>
      <c r="Q30" t="s">
        <v>25</v>
      </c>
      <c r="R30">
        <v>18.5</v>
      </c>
      <c r="S30">
        <v>2022</v>
      </c>
      <c r="T30" t="s">
        <v>53</v>
      </c>
    </row>
    <row r="31" spans="1:20" x14ac:dyDescent="0.3">
      <c r="A31" t="s">
        <v>28</v>
      </c>
      <c r="B31">
        <v>68</v>
      </c>
      <c r="C31" t="s">
        <v>23</v>
      </c>
      <c r="D31">
        <v>28</v>
      </c>
      <c r="E31" s="20">
        <v>44758</v>
      </c>
      <c r="F31">
        <v>12</v>
      </c>
      <c r="G31">
        <v>89</v>
      </c>
      <c r="H31">
        <v>53</v>
      </c>
      <c r="I31">
        <v>3.1</v>
      </c>
      <c r="J31">
        <v>66</v>
      </c>
      <c r="K31">
        <v>99</v>
      </c>
      <c r="L31">
        <v>11.5</v>
      </c>
      <c r="M31" t="s">
        <v>20</v>
      </c>
      <c r="N31">
        <v>4.5</v>
      </c>
      <c r="O31" t="s">
        <v>29</v>
      </c>
      <c r="P31">
        <v>18</v>
      </c>
      <c r="Q31" t="s">
        <v>25</v>
      </c>
      <c r="R31">
        <v>17</v>
      </c>
      <c r="S31">
        <v>2022</v>
      </c>
      <c r="T31" t="s">
        <v>53</v>
      </c>
    </row>
    <row r="32" spans="1:20" x14ac:dyDescent="0.3">
      <c r="A32" t="s">
        <v>28</v>
      </c>
      <c r="B32">
        <v>68</v>
      </c>
      <c r="C32" t="s">
        <v>35</v>
      </c>
      <c r="D32">
        <v>55</v>
      </c>
      <c r="E32" s="20">
        <v>44759</v>
      </c>
      <c r="F32">
        <v>10</v>
      </c>
      <c r="G32">
        <v>88</v>
      </c>
      <c r="H32">
        <v>45</v>
      </c>
      <c r="I32">
        <v>2.9</v>
      </c>
      <c r="J32">
        <v>64</v>
      </c>
      <c r="K32">
        <v>55</v>
      </c>
      <c r="L32">
        <v>10</v>
      </c>
      <c r="M32" t="s">
        <v>20</v>
      </c>
      <c r="N32">
        <v>4</v>
      </c>
      <c r="O32" t="s">
        <v>29</v>
      </c>
      <c r="P32">
        <v>16.5</v>
      </c>
      <c r="Q32" t="s">
        <v>25</v>
      </c>
      <c r="R32">
        <v>15</v>
      </c>
      <c r="S32">
        <v>2022</v>
      </c>
      <c r="T32" t="s">
        <v>53</v>
      </c>
    </row>
    <row r="33" spans="1:20" x14ac:dyDescent="0.3">
      <c r="A33" t="s">
        <v>24</v>
      </c>
      <c r="B33">
        <v>44</v>
      </c>
      <c r="C33" t="s">
        <v>19</v>
      </c>
      <c r="D33">
        <v>45</v>
      </c>
      <c r="E33" s="20">
        <v>44572</v>
      </c>
      <c r="F33">
        <v>50</v>
      </c>
      <c r="G33">
        <v>91.47</v>
      </c>
      <c r="H33">
        <v>49</v>
      </c>
      <c r="I33">
        <v>2.9</v>
      </c>
      <c r="J33">
        <v>47.8</v>
      </c>
      <c r="K33">
        <v>33</v>
      </c>
      <c r="L33">
        <v>18</v>
      </c>
      <c r="M33" t="s">
        <v>24</v>
      </c>
      <c r="N33">
        <v>27.5</v>
      </c>
      <c r="O33" t="s">
        <v>21</v>
      </c>
      <c r="P33">
        <v>8.1</v>
      </c>
      <c r="Q33" t="s">
        <v>25</v>
      </c>
      <c r="R33">
        <v>6.9</v>
      </c>
      <c r="S33">
        <v>2022</v>
      </c>
      <c r="T33" t="s">
        <v>47</v>
      </c>
    </row>
    <row r="34" spans="1:20" x14ac:dyDescent="0.3">
      <c r="A34" t="s">
        <v>24</v>
      </c>
      <c r="B34">
        <v>44</v>
      </c>
      <c r="C34" t="s">
        <v>23</v>
      </c>
      <c r="D34">
        <v>39</v>
      </c>
      <c r="E34" s="20">
        <v>44573</v>
      </c>
      <c r="F34">
        <v>42</v>
      </c>
      <c r="G34">
        <v>85.3</v>
      </c>
      <c r="H34">
        <v>35</v>
      </c>
      <c r="I34">
        <v>2.7</v>
      </c>
      <c r="J34">
        <v>45</v>
      </c>
      <c r="K34">
        <v>28</v>
      </c>
      <c r="L34">
        <v>17.5</v>
      </c>
      <c r="M34" t="s">
        <v>24</v>
      </c>
      <c r="N34">
        <v>26</v>
      </c>
      <c r="O34" t="s">
        <v>21</v>
      </c>
      <c r="P34">
        <v>7.5</v>
      </c>
      <c r="Q34" t="s">
        <v>25</v>
      </c>
      <c r="R34">
        <v>6.3</v>
      </c>
      <c r="S34">
        <v>2022</v>
      </c>
      <c r="T34" t="s">
        <v>47</v>
      </c>
    </row>
    <row r="35" spans="1:20" x14ac:dyDescent="0.3">
      <c r="A35" t="s">
        <v>24</v>
      </c>
      <c r="B35">
        <v>44</v>
      </c>
      <c r="C35" t="s">
        <v>19</v>
      </c>
      <c r="D35">
        <v>42</v>
      </c>
      <c r="E35" s="20">
        <v>44584</v>
      </c>
      <c r="F35">
        <v>46</v>
      </c>
      <c r="G35">
        <v>91.47</v>
      </c>
      <c r="H35">
        <v>49</v>
      </c>
      <c r="I35">
        <v>2.9</v>
      </c>
      <c r="J35">
        <v>47.8</v>
      </c>
      <c r="K35">
        <v>31</v>
      </c>
      <c r="L35">
        <v>18</v>
      </c>
      <c r="M35" t="s">
        <v>24</v>
      </c>
      <c r="N35">
        <v>27.5</v>
      </c>
      <c r="O35" t="s">
        <v>21</v>
      </c>
      <c r="P35">
        <v>8.1</v>
      </c>
      <c r="Q35" t="s">
        <v>25</v>
      </c>
      <c r="R35">
        <v>6.9</v>
      </c>
      <c r="S35">
        <v>2022</v>
      </c>
      <c r="T35" t="s">
        <v>47</v>
      </c>
    </row>
    <row r="36" spans="1:20" x14ac:dyDescent="0.3">
      <c r="A36" t="s">
        <v>24</v>
      </c>
      <c r="B36">
        <v>44</v>
      </c>
      <c r="C36" t="s">
        <v>23</v>
      </c>
      <c r="D36">
        <v>38</v>
      </c>
      <c r="E36" s="20">
        <v>44585</v>
      </c>
      <c r="F36">
        <v>35</v>
      </c>
      <c r="G36">
        <v>85.3</v>
      </c>
      <c r="H36">
        <v>35</v>
      </c>
      <c r="I36">
        <v>2.5</v>
      </c>
      <c r="J36">
        <v>45</v>
      </c>
      <c r="K36">
        <v>27</v>
      </c>
      <c r="L36">
        <v>17.5</v>
      </c>
      <c r="M36" t="s">
        <v>24</v>
      </c>
      <c r="N36">
        <v>26</v>
      </c>
      <c r="O36" t="s">
        <v>21</v>
      </c>
      <c r="P36">
        <v>7.5</v>
      </c>
      <c r="Q36" t="s">
        <v>25</v>
      </c>
      <c r="R36">
        <v>6.3</v>
      </c>
      <c r="S36">
        <v>2022</v>
      </c>
      <c r="T36" t="s">
        <v>47</v>
      </c>
    </row>
    <row r="37" spans="1:20" x14ac:dyDescent="0.3">
      <c r="A37" t="s">
        <v>24</v>
      </c>
      <c r="B37">
        <v>44</v>
      </c>
      <c r="C37" t="s">
        <v>19</v>
      </c>
      <c r="D37">
        <v>78</v>
      </c>
      <c r="E37" s="20">
        <v>44596</v>
      </c>
      <c r="F37">
        <v>44</v>
      </c>
      <c r="G37">
        <v>91.47</v>
      </c>
      <c r="H37">
        <v>49</v>
      </c>
      <c r="I37">
        <v>2.7</v>
      </c>
      <c r="J37">
        <v>47.8</v>
      </c>
      <c r="K37">
        <v>32</v>
      </c>
      <c r="L37">
        <v>18</v>
      </c>
      <c r="M37" t="s">
        <v>24</v>
      </c>
      <c r="N37">
        <v>27.5</v>
      </c>
      <c r="O37" t="s">
        <v>21</v>
      </c>
      <c r="P37">
        <v>8.1</v>
      </c>
      <c r="Q37" t="s">
        <v>25</v>
      </c>
      <c r="R37">
        <v>6.9</v>
      </c>
      <c r="S37">
        <v>2022</v>
      </c>
      <c r="T37" t="s">
        <v>48</v>
      </c>
    </row>
    <row r="38" spans="1:20" x14ac:dyDescent="0.3">
      <c r="A38" t="s">
        <v>24</v>
      </c>
      <c r="B38">
        <v>44</v>
      </c>
      <c r="C38" t="s">
        <v>23</v>
      </c>
      <c r="D38">
        <v>350</v>
      </c>
      <c r="E38" s="20">
        <v>44597</v>
      </c>
      <c r="F38">
        <v>32</v>
      </c>
      <c r="G38">
        <v>85.3</v>
      </c>
      <c r="H38">
        <v>35</v>
      </c>
      <c r="I38">
        <v>2.5</v>
      </c>
      <c r="J38">
        <v>45</v>
      </c>
      <c r="K38">
        <v>29</v>
      </c>
      <c r="L38">
        <v>17.5</v>
      </c>
      <c r="M38" t="s">
        <v>24</v>
      </c>
      <c r="N38">
        <v>26</v>
      </c>
      <c r="O38" t="s">
        <v>21</v>
      </c>
      <c r="P38">
        <v>7.5</v>
      </c>
      <c r="Q38" t="s">
        <v>25</v>
      </c>
      <c r="R38">
        <v>6.3</v>
      </c>
      <c r="S38">
        <v>2022</v>
      </c>
      <c r="T38" t="s">
        <v>48</v>
      </c>
    </row>
    <row r="39" spans="1:20" x14ac:dyDescent="0.3">
      <c r="A39" t="s">
        <v>24</v>
      </c>
      <c r="B39">
        <v>44</v>
      </c>
      <c r="C39" t="s">
        <v>19</v>
      </c>
      <c r="D39">
        <v>46</v>
      </c>
      <c r="E39" s="20">
        <v>44608</v>
      </c>
      <c r="F39">
        <v>44</v>
      </c>
      <c r="G39">
        <v>91.47</v>
      </c>
      <c r="H39">
        <v>49</v>
      </c>
      <c r="I39">
        <v>2.7</v>
      </c>
      <c r="J39">
        <v>47.8</v>
      </c>
      <c r="K39">
        <v>32</v>
      </c>
      <c r="L39">
        <v>18</v>
      </c>
      <c r="M39" t="s">
        <v>24</v>
      </c>
      <c r="N39">
        <v>27.5</v>
      </c>
      <c r="O39" t="s">
        <v>21</v>
      </c>
      <c r="P39">
        <v>8.1</v>
      </c>
      <c r="Q39" t="s">
        <v>25</v>
      </c>
      <c r="R39">
        <v>6.9</v>
      </c>
      <c r="S39">
        <v>2022</v>
      </c>
      <c r="T39" t="s">
        <v>48</v>
      </c>
    </row>
    <row r="40" spans="1:20" x14ac:dyDescent="0.3">
      <c r="A40" t="s">
        <v>24</v>
      </c>
      <c r="B40">
        <v>44</v>
      </c>
      <c r="C40" t="s">
        <v>23</v>
      </c>
      <c r="D40">
        <v>135</v>
      </c>
      <c r="E40" s="20">
        <v>44609</v>
      </c>
      <c r="F40">
        <v>32</v>
      </c>
      <c r="G40">
        <v>85.3</v>
      </c>
      <c r="H40">
        <v>35</v>
      </c>
      <c r="I40">
        <v>2.5</v>
      </c>
      <c r="J40">
        <v>45</v>
      </c>
      <c r="K40">
        <v>29</v>
      </c>
      <c r="L40">
        <v>17.5</v>
      </c>
      <c r="M40" t="s">
        <v>24</v>
      </c>
      <c r="N40">
        <v>26</v>
      </c>
      <c r="O40" t="s">
        <v>21</v>
      </c>
      <c r="P40">
        <v>7.5</v>
      </c>
      <c r="Q40" t="s">
        <v>25</v>
      </c>
      <c r="R40">
        <v>6.3</v>
      </c>
      <c r="S40">
        <v>2022</v>
      </c>
      <c r="T40" t="s">
        <v>48</v>
      </c>
    </row>
    <row r="41" spans="1:20" x14ac:dyDescent="0.3">
      <c r="A41" t="s">
        <v>24</v>
      </c>
      <c r="B41">
        <v>44</v>
      </c>
      <c r="C41" t="s">
        <v>19</v>
      </c>
      <c r="D41">
        <v>46</v>
      </c>
      <c r="E41" s="20">
        <v>44620</v>
      </c>
      <c r="F41">
        <v>44</v>
      </c>
      <c r="G41">
        <v>91.47</v>
      </c>
      <c r="H41">
        <v>49</v>
      </c>
      <c r="I41">
        <v>2.7</v>
      </c>
      <c r="J41">
        <v>47.8</v>
      </c>
      <c r="K41">
        <v>32</v>
      </c>
      <c r="L41">
        <v>18</v>
      </c>
      <c r="M41" t="s">
        <v>24</v>
      </c>
      <c r="N41">
        <v>27.5</v>
      </c>
      <c r="O41" t="s">
        <v>21</v>
      </c>
      <c r="P41">
        <v>8.1</v>
      </c>
      <c r="Q41" t="s">
        <v>25</v>
      </c>
      <c r="R41">
        <v>6.9</v>
      </c>
      <c r="S41">
        <v>2022</v>
      </c>
      <c r="T41" t="s">
        <v>48</v>
      </c>
    </row>
    <row r="42" spans="1:20" x14ac:dyDescent="0.3">
      <c r="A42" t="s">
        <v>24</v>
      </c>
      <c r="B42">
        <v>44</v>
      </c>
      <c r="C42" t="s">
        <v>23</v>
      </c>
      <c r="D42">
        <v>135</v>
      </c>
      <c r="E42" s="20">
        <v>44621</v>
      </c>
      <c r="F42">
        <v>32</v>
      </c>
      <c r="G42">
        <v>85.3</v>
      </c>
      <c r="H42">
        <v>35</v>
      </c>
      <c r="I42">
        <v>2.5</v>
      </c>
      <c r="J42">
        <v>45</v>
      </c>
      <c r="K42">
        <v>29</v>
      </c>
      <c r="L42">
        <v>17.5</v>
      </c>
      <c r="M42" t="s">
        <v>24</v>
      </c>
      <c r="N42">
        <v>26</v>
      </c>
      <c r="O42" t="s">
        <v>21</v>
      </c>
      <c r="P42">
        <v>7.5</v>
      </c>
      <c r="Q42" t="s">
        <v>25</v>
      </c>
      <c r="R42">
        <v>6.3</v>
      </c>
      <c r="S42">
        <v>2022</v>
      </c>
      <c r="T42" t="s">
        <v>49</v>
      </c>
    </row>
    <row r="43" spans="1:20" x14ac:dyDescent="0.3">
      <c r="A43" t="s">
        <v>24</v>
      </c>
      <c r="B43">
        <v>44</v>
      </c>
      <c r="C43" t="s">
        <v>19</v>
      </c>
      <c r="D43">
        <v>40</v>
      </c>
      <c r="E43" s="20">
        <v>44632</v>
      </c>
      <c r="F43">
        <v>48</v>
      </c>
      <c r="G43">
        <v>91.47</v>
      </c>
      <c r="H43">
        <v>49</v>
      </c>
      <c r="I43">
        <v>3</v>
      </c>
      <c r="J43">
        <v>47.8</v>
      </c>
      <c r="K43">
        <v>33</v>
      </c>
      <c r="L43">
        <v>18</v>
      </c>
      <c r="M43" t="s">
        <v>24</v>
      </c>
      <c r="N43">
        <v>27.5</v>
      </c>
      <c r="O43" t="s">
        <v>21</v>
      </c>
      <c r="P43">
        <v>8.1</v>
      </c>
      <c r="Q43" t="s">
        <v>25</v>
      </c>
      <c r="R43">
        <v>6.9</v>
      </c>
      <c r="S43">
        <v>2022</v>
      </c>
      <c r="T43" t="s">
        <v>49</v>
      </c>
    </row>
    <row r="44" spans="1:20" x14ac:dyDescent="0.3">
      <c r="A44" t="s">
        <v>24</v>
      </c>
      <c r="B44">
        <v>44</v>
      </c>
      <c r="C44" t="s">
        <v>23</v>
      </c>
      <c r="D44">
        <v>37</v>
      </c>
      <c r="E44" s="20">
        <v>44633</v>
      </c>
      <c r="F44">
        <v>39</v>
      </c>
      <c r="G44">
        <v>85.3</v>
      </c>
      <c r="H44">
        <v>35</v>
      </c>
      <c r="I44">
        <v>2.8</v>
      </c>
      <c r="J44">
        <v>45</v>
      </c>
      <c r="K44">
        <v>28</v>
      </c>
      <c r="L44">
        <v>17.5</v>
      </c>
      <c r="M44" t="s">
        <v>24</v>
      </c>
      <c r="N44">
        <v>26</v>
      </c>
      <c r="O44" t="s">
        <v>21</v>
      </c>
      <c r="P44">
        <v>7.5</v>
      </c>
      <c r="Q44" t="s">
        <v>25</v>
      </c>
      <c r="R44">
        <v>6.3</v>
      </c>
      <c r="S44">
        <v>2022</v>
      </c>
      <c r="T44" t="s">
        <v>49</v>
      </c>
    </row>
    <row r="45" spans="1:20" x14ac:dyDescent="0.3">
      <c r="A45" t="s">
        <v>24</v>
      </c>
      <c r="B45">
        <v>44</v>
      </c>
      <c r="C45" t="s">
        <v>19</v>
      </c>
      <c r="D45">
        <v>40</v>
      </c>
      <c r="E45" s="20">
        <v>44644</v>
      </c>
      <c r="F45">
        <v>48</v>
      </c>
      <c r="G45">
        <v>91.47</v>
      </c>
      <c r="H45">
        <v>49</v>
      </c>
      <c r="I45">
        <v>3</v>
      </c>
      <c r="J45">
        <v>47.8</v>
      </c>
      <c r="K45">
        <v>33</v>
      </c>
      <c r="L45">
        <v>18</v>
      </c>
      <c r="M45" t="s">
        <v>24</v>
      </c>
      <c r="N45">
        <v>27.5</v>
      </c>
      <c r="O45" t="s">
        <v>21</v>
      </c>
      <c r="P45">
        <v>8.1</v>
      </c>
      <c r="Q45" t="s">
        <v>25</v>
      </c>
      <c r="R45">
        <v>6.9</v>
      </c>
      <c r="S45">
        <v>2022</v>
      </c>
      <c r="T45" t="s">
        <v>49</v>
      </c>
    </row>
    <row r="46" spans="1:20" x14ac:dyDescent="0.3">
      <c r="A46" t="s">
        <v>24</v>
      </c>
      <c r="B46">
        <v>44</v>
      </c>
      <c r="C46" t="s">
        <v>23</v>
      </c>
      <c r="D46">
        <v>37</v>
      </c>
      <c r="E46" s="20">
        <v>44645</v>
      </c>
      <c r="F46">
        <v>39</v>
      </c>
      <c r="G46">
        <v>85.3</v>
      </c>
      <c r="H46">
        <v>35</v>
      </c>
      <c r="I46">
        <v>2.8</v>
      </c>
      <c r="J46">
        <v>45</v>
      </c>
      <c r="K46">
        <v>28</v>
      </c>
      <c r="L46">
        <v>17.5</v>
      </c>
      <c r="M46" t="s">
        <v>24</v>
      </c>
      <c r="N46">
        <v>26</v>
      </c>
      <c r="O46" t="s">
        <v>21</v>
      </c>
      <c r="P46">
        <v>7.5</v>
      </c>
      <c r="Q46" t="s">
        <v>25</v>
      </c>
      <c r="R46">
        <v>6.3</v>
      </c>
      <c r="S46">
        <v>2022</v>
      </c>
      <c r="T46" t="s">
        <v>49</v>
      </c>
    </row>
    <row r="47" spans="1:20" x14ac:dyDescent="0.3">
      <c r="A47" t="s">
        <v>24</v>
      </c>
      <c r="B47">
        <v>44</v>
      </c>
      <c r="C47" t="s">
        <v>19</v>
      </c>
      <c r="D47">
        <v>45</v>
      </c>
      <c r="E47" s="20">
        <v>44656</v>
      </c>
      <c r="F47">
        <v>49</v>
      </c>
      <c r="G47">
        <v>90</v>
      </c>
      <c r="H47">
        <v>45</v>
      </c>
      <c r="I47">
        <v>3.1</v>
      </c>
      <c r="J47">
        <v>48.5</v>
      </c>
      <c r="K47">
        <v>33</v>
      </c>
      <c r="L47">
        <v>18.5</v>
      </c>
      <c r="M47" t="s">
        <v>24</v>
      </c>
      <c r="N47">
        <v>25</v>
      </c>
      <c r="O47" t="s">
        <v>21</v>
      </c>
      <c r="P47">
        <v>9</v>
      </c>
      <c r="Q47" t="s">
        <v>25</v>
      </c>
      <c r="R47">
        <v>7.5</v>
      </c>
      <c r="S47">
        <v>2022</v>
      </c>
      <c r="T47" t="s">
        <v>50</v>
      </c>
    </row>
    <row r="48" spans="1:20" x14ac:dyDescent="0.3">
      <c r="A48" t="s">
        <v>24</v>
      </c>
      <c r="B48">
        <v>44</v>
      </c>
      <c r="C48" t="s">
        <v>23</v>
      </c>
      <c r="D48">
        <v>134</v>
      </c>
      <c r="E48" s="20">
        <v>44657</v>
      </c>
      <c r="F48">
        <v>37</v>
      </c>
      <c r="G48">
        <v>87</v>
      </c>
      <c r="H48">
        <v>40</v>
      </c>
      <c r="I48">
        <v>2.9</v>
      </c>
      <c r="J48">
        <v>46</v>
      </c>
      <c r="K48">
        <v>27</v>
      </c>
      <c r="L48">
        <v>16.5</v>
      </c>
      <c r="M48" t="s">
        <v>24</v>
      </c>
      <c r="N48">
        <v>24</v>
      </c>
      <c r="O48" t="s">
        <v>21</v>
      </c>
      <c r="P48">
        <v>8</v>
      </c>
      <c r="Q48" t="s">
        <v>25</v>
      </c>
      <c r="R48">
        <v>6.5</v>
      </c>
      <c r="S48">
        <v>2022</v>
      </c>
      <c r="T48" t="s">
        <v>50</v>
      </c>
    </row>
    <row r="49" spans="1:20" x14ac:dyDescent="0.3">
      <c r="A49" t="s">
        <v>24</v>
      </c>
      <c r="B49">
        <v>44</v>
      </c>
      <c r="C49" t="s">
        <v>19</v>
      </c>
      <c r="D49">
        <v>42</v>
      </c>
      <c r="E49" s="20">
        <v>44668</v>
      </c>
      <c r="F49">
        <v>45</v>
      </c>
      <c r="G49">
        <v>89</v>
      </c>
      <c r="H49">
        <v>45</v>
      </c>
      <c r="I49">
        <v>3.2</v>
      </c>
      <c r="J49">
        <v>45</v>
      </c>
      <c r="K49">
        <v>31</v>
      </c>
      <c r="L49">
        <v>17</v>
      </c>
      <c r="M49" t="s">
        <v>24</v>
      </c>
      <c r="N49">
        <v>26</v>
      </c>
      <c r="O49" t="s">
        <v>21</v>
      </c>
      <c r="P49">
        <v>7</v>
      </c>
      <c r="Q49" t="s">
        <v>25</v>
      </c>
      <c r="R49">
        <v>7</v>
      </c>
      <c r="S49">
        <v>2022</v>
      </c>
      <c r="T49" t="s">
        <v>50</v>
      </c>
    </row>
    <row r="50" spans="1:20" x14ac:dyDescent="0.3">
      <c r="A50" t="s">
        <v>24</v>
      </c>
      <c r="B50">
        <v>44</v>
      </c>
      <c r="C50" t="s">
        <v>23</v>
      </c>
      <c r="D50">
        <v>39</v>
      </c>
      <c r="E50" s="20">
        <v>44669</v>
      </c>
      <c r="F50">
        <v>38</v>
      </c>
      <c r="G50">
        <v>85</v>
      </c>
      <c r="H50">
        <v>35</v>
      </c>
      <c r="I50">
        <v>2.8</v>
      </c>
      <c r="J50">
        <v>44</v>
      </c>
      <c r="K50">
        <v>27</v>
      </c>
      <c r="L50">
        <v>16</v>
      </c>
      <c r="M50" t="s">
        <v>24</v>
      </c>
      <c r="N50">
        <v>25</v>
      </c>
      <c r="O50" t="s">
        <v>21</v>
      </c>
      <c r="P50">
        <v>6.5</v>
      </c>
      <c r="Q50" t="s">
        <v>25</v>
      </c>
      <c r="R50">
        <v>6.5</v>
      </c>
      <c r="S50">
        <v>2022</v>
      </c>
      <c r="T50" t="s">
        <v>50</v>
      </c>
    </row>
    <row r="51" spans="1:20" x14ac:dyDescent="0.3">
      <c r="A51" t="s">
        <v>24</v>
      </c>
      <c r="B51">
        <v>44</v>
      </c>
      <c r="C51" t="s">
        <v>19</v>
      </c>
      <c r="D51">
        <v>40</v>
      </c>
      <c r="E51" s="20">
        <v>44675</v>
      </c>
      <c r="F51">
        <v>48</v>
      </c>
      <c r="G51">
        <v>91.47</v>
      </c>
      <c r="H51">
        <v>49</v>
      </c>
      <c r="I51">
        <v>3</v>
      </c>
      <c r="J51">
        <v>47.8</v>
      </c>
      <c r="K51">
        <v>33</v>
      </c>
      <c r="L51">
        <v>18</v>
      </c>
      <c r="M51" t="s">
        <v>24</v>
      </c>
      <c r="N51">
        <v>27.5</v>
      </c>
      <c r="O51" t="s">
        <v>21</v>
      </c>
      <c r="P51">
        <v>8.1</v>
      </c>
      <c r="Q51" t="s">
        <v>25</v>
      </c>
      <c r="R51">
        <v>6.9</v>
      </c>
      <c r="S51">
        <v>2022</v>
      </c>
      <c r="T51" t="s">
        <v>50</v>
      </c>
    </row>
    <row r="52" spans="1:20" x14ac:dyDescent="0.3">
      <c r="A52" t="s">
        <v>24</v>
      </c>
      <c r="B52">
        <v>44</v>
      </c>
      <c r="C52" t="s">
        <v>23</v>
      </c>
      <c r="D52">
        <v>37</v>
      </c>
      <c r="E52" s="20">
        <v>44676</v>
      </c>
      <c r="F52">
        <v>39</v>
      </c>
      <c r="G52">
        <v>85.3</v>
      </c>
      <c r="H52">
        <v>35</v>
      </c>
      <c r="I52">
        <v>2.8</v>
      </c>
      <c r="J52">
        <v>5</v>
      </c>
      <c r="K52">
        <v>28</v>
      </c>
      <c r="L52">
        <v>17.5</v>
      </c>
      <c r="M52" t="s">
        <v>24</v>
      </c>
      <c r="N52">
        <v>26</v>
      </c>
      <c r="O52" t="s">
        <v>21</v>
      </c>
      <c r="P52">
        <v>7.5</v>
      </c>
      <c r="Q52" t="s">
        <v>25</v>
      </c>
      <c r="R52">
        <v>6.3</v>
      </c>
      <c r="S52">
        <v>2022</v>
      </c>
      <c r="T52" t="s">
        <v>50</v>
      </c>
    </row>
    <row r="53" spans="1:20" x14ac:dyDescent="0.3">
      <c r="A53" t="s">
        <v>24</v>
      </c>
      <c r="B53">
        <v>44</v>
      </c>
      <c r="C53" t="s">
        <v>35</v>
      </c>
      <c r="D53">
        <v>29</v>
      </c>
      <c r="E53" s="20">
        <v>44677</v>
      </c>
      <c r="F53">
        <v>30</v>
      </c>
      <c r="G53">
        <v>87</v>
      </c>
      <c r="H53">
        <v>30</v>
      </c>
      <c r="I53">
        <v>3.2</v>
      </c>
      <c r="J53">
        <v>46.5</v>
      </c>
      <c r="K53">
        <v>93</v>
      </c>
      <c r="L53">
        <v>14</v>
      </c>
      <c r="M53" t="s">
        <v>24</v>
      </c>
      <c r="N53">
        <v>24</v>
      </c>
      <c r="O53" t="s">
        <v>21</v>
      </c>
      <c r="P53">
        <v>6.8</v>
      </c>
      <c r="Q53" t="s">
        <v>25</v>
      </c>
      <c r="R53">
        <v>6.1</v>
      </c>
      <c r="S53">
        <v>2022</v>
      </c>
      <c r="T53" t="s">
        <v>50</v>
      </c>
    </row>
    <row r="54" spans="1:20" x14ac:dyDescent="0.3">
      <c r="A54" t="s">
        <v>24</v>
      </c>
      <c r="B54">
        <v>44</v>
      </c>
      <c r="C54" t="s">
        <v>19</v>
      </c>
      <c r="D54">
        <v>45</v>
      </c>
      <c r="E54" s="20">
        <v>44692</v>
      </c>
      <c r="F54">
        <v>49</v>
      </c>
      <c r="G54">
        <v>90</v>
      </c>
      <c r="H54">
        <v>45</v>
      </c>
      <c r="I54">
        <v>3.1</v>
      </c>
      <c r="J54">
        <v>48.5</v>
      </c>
      <c r="K54">
        <v>33</v>
      </c>
      <c r="L54">
        <v>18.5</v>
      </c>
      <c r="M54" t="s">
        <v>24</v>
      </c>
      <c r="N54">
        <v>25</v>
      </c>
      <c r="O54" t="s">
        <v>21</v>
      </c>
      <c r="P54">
        <v>9</v>
      </c>
      <c r="Q54" t="s">
        <v>25</v>
      </c>
      <c r="R54">
        <v>7.5</v>
      </c>
      <c r="S54">
        <v>2022</v>
      </c>
      <c r="T54" t="s">
        <v>51</v>
      </c>
    </row>
    <row r="55" spans="1:20" x14ac:dyDescent="0.3">
      <c r="A55" t="s">
        <v>24</v>
      </c>
      <c r="B55">
        <v>44</v>
      </c>
      <c r="C55" t="s">
        <v>23</v>
      </c>
      <c r="D55">
        <v>34</v>
      </c>
      <c r="E55" s="20">
        <v>44693</v>
      </c>
      <c r="F55">
        <v>37</v>
      </c>
      <c r="G55">
        <v>87</v>
      </c>
      <c r="H55">
        <v>40</v>
      </c>
      <c r="I55">
        <v>2.9</v>
      </c>
      <c r="J55">
        <v>44</v>
      </c>
      <c r="K55">
        <v>27</v>
      </c>
      <c r="L55">
        <v>16.5</v>
      </c>
      <c r="M55" t="s">
        <v>24</v>
      </c>
      <c r="N55">
        <v>24</v>
      </c>
      <c r="O55" t="s">
        <v>21</v>
      </c>
      <c r="P55">
        <v>8</v>
      </c>
      <c r="Q55" t="s">
        <v>25</v>
      </c>
      <c r="R55">
        <v>6.5</v>
      </c>
      <c r="S55">
        <v>2022</v>
      </c>
      <c r="T55" t="s">
        <v>51</v>
      </c>
    </row>
    <row r="56" spans="1:20" x14ac:dyDescent="0.3">
      <c r="A56" t="s">
        <v>24</v>
      </c>
      <c r="B56">
        <v>44</v>
      </c>
      <c r="C56" t="s">
        <v>35</v>
      </c>
      <c r="D56">
        <v>2</v>
      </c>
      <c r="E56" s="20">
        <v>44694</v>
      </c>
      <c r="F56">
        <v>25</v>
      </c>
      <c r="G56">
        <v>85</v>
      </c>
      <c r="H56">
        <v>35</v>
      </c>
      <c r="I56">
        <v>3</v>
      </c>
      <c r="J56">
        <v>43</v>
      </c>
      <c r="K56">
        <v>78</v>
      </c>
      <c r="L56">
        <v>15</v>
      </c>
      <c r="M56" t="s">
        <v>24</v>
      </c>
      <c r="N56">
        <v>23</v>
      </c>
      <c r="O56" t="s">
        <v>21</v>
      </c>
      <c r="P56">
        <v>7</v>
      </c>
      <c r="Q56" t="s">
        <v>25</v>
      </c>
      <c r="R56">
        <v>5</v>
      </c>
      <c r="S56">
        <v>2022</v>
      </c>
      <c r="T56" t="s">
        <v>51</v>
      </c>
    </row>
    <row r="57" spans="1:20" x14ac:dyDescent="0.3">
      <c r="A57" t="s">
        <v>24</v>
      </c>
      <c r="B57">
        <v>44</v>
      </c>
      <c r="C57" t="s">
        <v>19</v>
      </c>
      <c r="D57">
        <v>42</v>
      </c>
      <c r="E57" s="20">
        <v>44710</v>
      </c>
      <c r="F57">
        <v>45</v>
      </c>
      <c r="G57">
        <v>89</v>
      </c>
      <c r="H57">
        <v>45</v>
      </c>
      <c r="I57">
        <v>3.2</v>
      </c>
      <c r="J57">
        <v>45</v>
      </c>
      <c r="K57">
        <v>31</v>
      </c>
      <c r="L57">
        <v>17</v>
      </c>
      <c r="M57" t="s">
        <v>24</v>
      </c>
      <c r="N57">
        <v>26</v>
      </c>
      <c r="O57" t="s">
        <v>21</v>
      </c>
      <c r="P57">
        <v>7</v>
      </c>
      <c r="Q57" t="s">
        <v>25</v>
      </c>
      <c r="R57">
        <v>7</v>
      </c>
      <c r="S57">
        <v>2022</v>
      </c>
      <c r="T57" t="s">
        <v>51</v>
      </c>
    </row>
    <row r="58" spans="1:20" x14ac:dyDescent="0.3">
      <c r="A58" t="s">
        <v>24</v>
      </c>
      <c r="B58">
        <v>44</v>
      </c>
      <c r="C58" t="s">
        <v>23</v>
      </c>
      <c r="D58">
        <v>139</v>
      </c>
      <c r="E58" s="20">
        <v>44711</v>
      </c>
      <c r="F58">
        <v>38</v>
      </c>
      <c r="G58">
        <v>85</v>
      </c>
      <c r="H58">
        <v>40</v>
      </c>
      <c r="I58">
        <v>2.9</v>
      </c>
      <c r="J58">
        <v>44</v>
      </c>
      <c r="K58">
        <v>27</v>
      </c>
      <c r="L58">
        <v>16</v>
      </c>
      <c r="M58" t="s">
        <v>24</v>
      </c>
      <c r="N58">
        <v>25</v>
      </c>
      <c r="O58" t="s">
        <v>21</v>
      </c>
      <c r="P58">
        <v>6.5</v>
      </c>
      <c r="Q58" t="s">
        <v>25</v>
      </c>
      <c r="R58">
        <v>6.5</v>
      </c>
      <c r="S58">
        <v>2022</v>
      </c>
      <c r="T58" t="s">
        <v>51</v>
      </c>
    </row>
    <row r="59" spans="1:20" x14ac:dyDescent="0.3">
      <c r="A59" t="s">
        <v>24</v>
      </c>
      <c r="B59">
        <v>44</v>
      </c>
      <c r="C59" t="s">
        <v>35</v>
      </c>
      <c r="D59">
        <v>22</v>
      </c>
      <c r="E59" s="20">
        <v>44712</v>
      </c>
      <c r="F59">
        <v>25</v>
      </c>
      <c r="G59">
        <v>83</v>
      </c>
      <c r="H59">
        <v>35</v>
      </c>
      <c r="I59">
        <v>3</v>
      </c>
      <c r="J59">
        <v>43</v>
      </c>
      <c r="K59">
        <v>78</v>
      </c>
      <c r="L59">
        <v>15</v>
      </c>
      <c r="M59" t="s">
        <v>24</v>
      </c>
      <c r="N59">
        <v>23</v>
      </c>
      <c r="O59" t="s">
        <v>21</v>
      </c>
      <c r="P59">
        <v>7</v>
      </c>
      <c r="Q59" t="s">
        <v>25</v>
      </c>
      <c r="R59">
        <v>5</v>
      </c>
      <c r="S59">
        <v>2022</v>
      </c>
      <c r="T59" t="s">
        <v>51</v>
      </c>
    </row>
    <row r="60" spans="1:20" x14ac:dyDescent="0.3">
      <c r="A60" t="s">
        <v>24</v>
      </c>
      <c r="B60">
        <v>44</v>
      </c>
      <c r="C60" t="s">
        <v>19</v>
      </c>
      <c r="D60">
        <v>43</v>
      </c>
      <c r="E60" s="20">
        <v>44722</v>
      </c>
      <c r="F60">
        <v>45</v>
      </c>
      <c r="G60">
        <v>89</v>
      </c>
      <c r="H60">
        <v>45</v>
      </c>
      <c r="I60">
        <v>3.2</v>
      </c>
      <c r="J60">
        <v>45</v>
      </c>
      <c r="K60">
        <v>31</v>
      </c>
      <c r="L60">
        <v>17</v>
      </c>
      <c r="M60" t="s">
        <v>24</v>
      </c>
      <c r="N60">
        <v>26</v>
      </c>
      <c r="O60" t="s">
        <v>21</v>
      </c>
      <c r="P60">
        <v>7</v>
      </c>
      <c r="Q60" t="s">
        <v>25</v>
      </c>
      <c r="R60">
        <v>7</v>
      </c>
      <c r="S60">
        <v>2022</v>
      </c>
      <c r="T60" t="s">
        <v>52</v>
      </c>
    </row>
    <row r="61" spans="1:20" x14ac:dyDescent="0.3">
      <c r="A61" t="s">
        <v>24</v>
      </c>
      <c r="B61">
        <v>44</v>
      </c>
      <c r="C61" t="s">
        <v>23</v>
      </c>
      <c r="D61">
        <v>137</v>
      </c>
      <c r="E61" s="20">
        <v>44723</v>
      </c>
      <c r="F61">
        <v>38</v>
      </c>
      <c r="G61">
        <v>85</v>
      </c>
      <c r="H61">
        <v>40</v>
      </c>
      <c r="I61">
        <v>2.9</v>
      </c>
      <c r="J61">
        <v>44</v>
      </c>
      <c r="K61">
        <v>27</v>
      </c>
      <c r="L61">
        <v>16</v>
      </c>
      <c r="M61" t="s">
        <v>24</v>
      </c>
      <c r="N61">
        <v>25</v>
      </c>
      <c r="O61" t="s">
        <v>21</v>
      </c>
      <c r="P61">
        <v>6.5</v>
      </c>
      <c r="Q61" t="s">
        <v>25</v>
      </c>
      <c r="R61">
        <v>6.5</v>
      </c>
      <c r="S61">
        <v>2022</v>
      </c>
      <c r="T61" t="s">
        <v>52</v>
      </c>
    </row>
    <row r="62" spans="1:20" x14ac:dyDescent="0.3">
      <c r="A62" t="s">
        <v>24</v>
      </c>
      <c r="B62">
        <v>44</v>
      </c>
      <c r="C62" t="s">
        <v>35</v>
      </c>
      <c r="D62">
        <v>20</v>
      </c>
      <c r="E62" s="20">
        <v>44724</v>
      </c>
      <c r="F62">
        <v>25</v>
      </c>
      <c r="G62">
        <v>83</v>
      </c>
      <c r="H62">
        <v>35</v>
      </c>
      <c r="I62">
        <v>3</v>
      </c>
      <c r="J62">
        <v>43</v>
      </c>
      <c r="K62">
        <v>78</v>
      </c>
      <c r="L62">
        <v>15</v>
      </c>
      <c r="M62" t="s">
        <v>24</v>
      </c>
      <c r="N62">
        <v>23</v>
      </c>
      <c r="O62" t="s">
        <v>21</v>
      </c>
      <c r="P62">
        <v>7</v>
      </c>
      <c r="Q62" t="s">
        <v>25</v>
      </c>
      <c r="R62">
        <v>5</v>
      </c>
      <c r="S62">
        <v>2022</v>
      </c>
      <c r="T62" t="s">
        <v>52</v>
      </c>
    </row>
    <row r="63" spans="1:20" x14ac:dyDescent="0.3">
      <c r="A63" t="s">
        <v>24</v>
      </c>
      <c r="B63">
        <v>44</v>
      </c>
      <c r="C63" t="s">
        <v>23</v>
      </c>
      <c r="D63">
        <v>66</v>
      </c>
      <c r="E63" s="20">
        <v>44729</v>
      </c>
      <c r="F63">
        <v>44</v>
      </c>
      <c r="G63">
        <v>91.47</v>
      </c>
      <c r="H63">
        <v>49</v>
      </c>
      <c r="I63">
        <v>2.7</v>
      </c>
      <c r="J63">
        <v>47.8</v>
      </c>
      <c r="K63">
        <v>37</v>
      </c>
      <c r="L63">
        <v>18</v>
      </c>
      <c r="M63" t="s">
        <v>24</v>
      </c>
      <c r="N63">
        <v>27.5</v>
      </c>
      <c r="O63" t="s">
        <v>21</v>
      </c>
      <c r="P63">
        <v>8.1</v>
      </c>
      <c r="Q63" t="s">
        <v>25</v>
      </c>
      <c r="R63">
        <v>6.9</v>
      </c>
      <c r="S63">
        <v>2022</v>
      </c>
      <c r="T63" t="s">
        <v>52</v>
      </c>
    </row>
    <row r="64" spans="1:20" x14ac:dyDescent="0.3">
      <c r="A64" t="s">
        <v>24</v>
      </c>
      <c r="B64">
        <v>44</v>
      </c>
      <c r="C64" t="s">
        <v>19</v>
      </c>
      <c r="D64">
        <v>129</v>
      </c>
      <c r="E64" s="20">
        <v>44734</v>
      </c>
      <c r="F64">
        <v>45</v>
      </c>
      <c r="G64">
        <v>89</v>
      </c>
      <c r="H64">
        <v>47</v>
      </c>
      <c r="I64">
        <v>3.3</v>
      </c>
      <c r="J64">
        <v>45</v>
      </c>
      <c r="K64">
        <v>32</v>
      </c>
      <c r="L64">
        <v>18</v>
      </c>
      <c r="M64" t="s">
        <v>24</v>
      </c>
      <c r="N64">
        <v>27.5</v>
      </c>
      <c r="O64" t="s">
        <v>21</v>
      </c>
      <c r="P64">
        <v>9.5</v>
      </c>
      <c r="Q64" t="s">
        <v>25</v>
      </c>
      <c r="R64">
        <v>8.5</v>
      </c>
      <c r="S64">
        <v>2022</v>
      </c>
      <c r="T64" t="s">
        <v>52</v>
      </c>
    </row>
    <row r="65" spans="1:20" x14ac:dyDescent="0.3">
      <c r="A65" t="s">
        <v>24</v>
      </c>
      <c r="B65">
        <v>44</v>
      </c>
      <c r="C65" t="s">
        <v>19</v>
      </c>
      <c r="D65">
        <v>46</v>
      </c>
      <c r="E65" s="20">
        <v>44751</v>
      </c>
      <c r="F65">
        <v>47</v>
      </c>
      <c r="G65">
        <v>90</v>
      </c>
      <c r="H65">
        <v>47</v>
      </c>
      <c r="I65">
        <v>3.3</v>
      </c>
      <c r="J65">
        <v>45</v>
      </c>
      <c r="K65">
        <v>32</v>
      </c>
      <c r="L65">
        <v>18</v>
      </c>
      <c r="M65" t="s">
        <v>24</v>
      </c>
      <c r="N65">
        <v>27.5</v>
      </c>
      <c r="O65" t="s">
        <v>21</v>
      </c>
      <c r="P65">
        <v>9.5</v>
      </c>
      <c r="Q65" t="s">
        <v>25</v>
      </c>
      <c r="R65">
        <v>8.5</v>
      </c>
      <c r="S65">
        <v>2022</v>
      </c>
      <c r="T65" t="s">
        <v>53</v>
      </c>
    </row>
    <row r="66" spans="1:20" x14ac:dyDescent="0.3">
      <c r="A66" t="s">
        <v>24</v>
      </c>
      <c r="B66">
        <v>44</v>
      </c>
      <c r="C66" t="s">
        <v>23</v>
      </c>
      <c r="D66">
        <v>139</v>
      </c>
      <c r="E66" s="20">
        <v>44752</v>
      </c>
      <c r="F66">
        <v>39</v>
      </c>
      <c r="G66">
        <v>87</v>
      </c>
      <c r="H66">
        <v>41</v>
      </c>
      <c r="I66">
        <v>3</v>
      </c>
      <c r="J66">
        <v>44</v>
      </c>
      <c r="K66">
        <v>27</v>
      </c>
      <c r="L66">
        <v>17</v>
      </c>
      <c r="M66" t="s">
        <v>24</v>
      </c>
      <c r="N66">
        <v>26</v>
      </c>
      <c r="O66" t="s">
        <v>21</v>
      </c>
      <c r="P66">
        <v>8</v>
      </c>
      <c r="Q66" t="s">
        <v>25</v>
      </c>
      <c r="R66">
        <v>7.5</v>
      </c>
      <c r="S66">
        <v>2022</v>
      </c>
      <c r="T66" t="s">
        <v>53</v>
      </c>
    </row>
    <row r="67" spans="1:20" x14ac:dyDescent="0.3">
      <c r="A67" t="s">
        <v>24</v>
      </c>
      <c r="B67">
        <v>44</v>
      </c>
      <c r="C67" t="s">
        <v>35</v>
      </c>
      <c r="D67">
        <v>29</v>
      </c>
      <c r="E67" s="20">
        <v>44753</v>
      </c>
      <c r="F67">
        <v>25</v>
      </c>
      <c r="G67">
        <v>85</v>
      </c>
      <c r="H67">
        <v>35</v>
      </c>
      <c r="I67">
        <v>3</v>
      </c>
      <c r="J67">
        <v>43</v>
      </c>
      <c r="K67">
        <v>78</v>
      </c>
      <c r="L67">
        <v>16.5</v>
      </c>
      <c r="M67" t="s">
        <v>24</v>
      </c>
      <c r="N67">
        <v>25</v>
      </c>
      <c r="O67" t="s">
        <v>21</v>
      </c>
      <c r="P67">
        <v>7</v>
      </c>
      <c r="Q67" t="s">
        <v>25</v>
      </c>
      <c r="R67">
        <v>6</v>
      </c>
      <c r="S67">
        <v>2022</v>
      </c>
      <c r="T67" t="s">
        <v>53</v>
      </c>
    </row>
    <row r="68" spans="1:20" x14ac:dyDescent="0.3">
      <c r="A68" t="s">
        <v>24</v>
      </c>
      <c r="B68">
        <v>44</v>
      </c>
      <c r="C68" t="s">
        <v>23</v>
      </c>
      <c r="D68">
        <v>35</v>
      </c>
      <c r="E68" s="20">
        <v>44763</v>
      </c>
      <c r="F68">
        <v>32</v>
      </c>
      <c r="G68">
        <v>85.3</v>
      </c>
      <c r="H68">
        <v>35</v>
      </c>
      <c r="I68">
        <v>2.5</v>
      </c>
      <c r="J68">
        <v>45</v>
      </c>
      <c r="K68">
        <v>29</v>
      </c>
      <c r="L68">
        <v>17.5</v>
      </c>
      <c r="M68" t="s">
        <v>24</v>
      </c>
      <c r="N68">
        <v>26</v>
      </c>
      <c r="O68" t="s">
        <v>21</v>
      </c>
      <c r="P68">
        <v>7.5</v>
      </c>
      <c r="Q68" t="s">
        <v>25</v>
      </c>
      <c r="R68">
        <v>6.3</v>
      </c>
      <c r="S68">
        <v>2022</v>
      </c>
      <c r="T68" t="s">
        <v>53</v>
      </c>
    </row>
    <row r="69" spans="1:20" x14ac:dyDescent="0.3">
      <c r="A69" t="s">
        <v>32</v>
      </c>
      <c r="B69">
        <v>33</v>
      </c>
      <c r="C69" t="s">
        <v>19</v>
      </c>
      <c r="D69">
        <v>30</v>
      </c>
      <c r="E69" s="20">
        <v>44580</v>
      </c>
      <c r="F69">
        <v>18</v>
      </c>
      <c r="G69">
        <v>65.34</v>
      </c>
      <c r="H69">
        <v>15</v>
      </c>
      <c r="I69">
        <v>4.0999999999999996</v>
      </c>
      <c r="J69">
        <v>52.3</v>
      </c>
      <c r="K69">
        <v>94</v>
      </c>
      <c r="L69">
        <v>16.2</v>
      </c>
      <c r="M69" t="s">
        <v>24</v>
      </c>
      <c r="N69">
        <v>18.899999999999999</v>
      </c>
      <c r="O69" t="s">
        <v>33</v>
      </c>
      <c r="P69">
        <v>13.8</v>
      </c>
      <c r="Q69" t="s">
        <v>34</v>
      </c>
      <c r="R69">
        <v>10.7</v>
      </c>
      <c r="S69">
        <v>2022</v>
      </c>
      <c r="T69" t="s">
        <v>47</v>
      </c>
    </row>
    <row r="70" spans="1:20" x14ac:dyDescent="0.3">
      <c r="A70" t="s">
        <v>32</v>
      </c>
      <c r="B70">
        <v>33</v>
      </c>
      <c r="C70" t="s">
        <v>23</v>
      </c>
      <c r="D70">
        <v>26</v>
      </c>
      <c r="E70" s="20">
        <v>44581</v>
      </c>
      <c r="F70">
        <v>13</v>
      </c>
      <c r="G70">
        <v>60.2</v>
      </c>
      <c r="H70">
        <v>16</v>
      </c>
      <c r="I70">
        <v>3.8</v>
      </c>
      <c r="J70">
        <v>50.5</v>
      </c>
      <c r="K70">
        <v>75</v>
      </c>
      <c r="L70">
        <v>15</v>
      </c>
      <c r="M70" t="s">
        <v>24</v>
      </c>
      <c r="N70">
        <v>17.8</v>
      </c>
      <c r="O70" t="s">
        <v>33</v>
      </c>
      <c r="P70">
        <v>12</v>
      </c>
      <c r="Q70" t="s">
        <v>34</v>
      </c>
      <c r="R70">
        <v>9.5</v>
      </c>
      <c r="S70">
        <v>2022</v>
      </c>
      <c r="T70" t="s">
        <v>47</v>
      </c>
    </row>
    <row r="71" spans="1:20" x14ac:dyDescent="0.3">
      <c r="A71" t="s">
        <v>32</v>
      </c>
      <c r="B71">
        <v>33</v>
      </c>
      <c r="C71" t="s">
        <v>19</v>
      </c>
      <c r="D71">
        <v>134</v>
      </c>
      <c r="E71" s="20">
        <v>44592</v>
      </c>
      <c r="F71">
        <v>17</v>
      </c>
      <c r="G71">
        <v>65.34</v>
      </c>
      <c r="H71">
        <v>26</v>
      </c>
      <c r="I71">
        <v>4.0999999999999996</v>
      </c>
      <c r="J71">
        <v>52.3</v>
      </c>
      <c r="K71">
        <v>93</v>
      </c>
      <c r="L71">
        <v>16.2</v>
      </c>
      <c r="M71" t="s">
        <v>24</v>
      </c>
      <c r="N71">
        <v>18.899999999999999</v>
      </c>
      <c r="O71" t="s">
        <v>33</v>
      </c>
      <c r="P71">
        <v>13.8</v>
      </c>
      <c r="Q71" t="s">
        <v>34</v>
      </c>
      <c r="R71">
        <v>10.7</v>
      </c>
      <c r="S71">
        <v>2022</v>
      </c>
      <c r="T71" t="s">
        <v>47</v>
      </c>
    </row>
    <row r="72" spans="1:20" x14ac:dyDescent="0.3">
      <c r="A72" t="s">
        <v>32</v>
      </c>
      <c r="B72">
        <v>33</v>
      </c>
      <c r="C72" t="s">
        <v>23</v>
      </c>
      <c r="D72">
        <v>27</v>
      </c>
      <c r="E72" s="20">
        <v>44593</v>
      </c>
      <c r="F72">
        <v>13</v>
      </c>
      <c r="G72">
        <v>60.2</v>
      </c>
      <c r="H72">
        <v>27</v>
      </c>
      <c r="I72">
        <v>3.6</v>
      </c>
      <c r="J72">
        <v>50.5</v>
      </c>
      <c r="K72">
        <v>76</v>
      </c>
      <c r="L72">
        <v>15</v>
      </c>
      <c r="M72" t="s">
        <v>24</v>
      </c>
      <c r="N72">
        <v>17.8</v>
      </c>
      <c r="O72" t="s">
        <v>33</v>
      </c>
      <c r="P72">
        <v>12</v>
      </c>
      <c r="Q72" t="s">
        <v>34</v>
      </c>
      <c r="R72">
        <v>9.5</v>
      </c>
      <c r="S72">
        <v>2022</v>
      </c>
      <c r="T72" t="s">
        <v>48</v>
      </c>
    </row>
    <row r="73" spans="1:20" x14ac:dyDescent="0.3">
      <c r="A73" t="s">
        <v>32</v>
      </c>
      <c r="B73">
        <v>33</v>
      </c>
      <c r="C73" t="s">
        <v>19</v>
      </c>
      <c r="D73">
        <v>87</v>
      </c>
      <c r="E73" s="20">
        <v>44604</v>
      </c>
      <c r="F73">
        <v>19</v>
      </c>
      <c r="G73">
        <v>65.34</v>
      </c>
      <c r="H73">
        <v>26</v>
      </c>
      <c r="I73">
        <v>4.0999999999999996</v>
      </c>
      <c r="J73">
        <v>52.3</v>
      </c>
      <c r="K73">
        <v>93</v>
      </c>
      <c r="L73">
        <v>16.2</v>
      </c>
      <c r="M73" t="s">
        <v>24</v>
      </c>
      <c r="N73">
        <v>18.899999999999999</v>
      </c>
      <c r="O73" t="s">
        <v>33</v>
      </c>
      <c r="P73">
        <v>13.8</v>
      </c>
      <c r="Q73" t="s">
        <v>34</v>
      </c>
      <c r="R73">
        <v>10.7</v>
      </c>
      <c r="S73">
        <v>2022</v>
      </c>
      <c r="T73" t="s">
        <v>48</v>
      </c>
    </row>
    <row r="74" spans="1:20" x14ac:dyDescent="0.3">
      <c r="A74" t="s">
        <v>32</v>
      </c>
      <c r="B74">
        <v>33</v>
      </c>
      <c r="C74" t="s">
        <v>23</v>
      </c>
      <c r="D74">
        <v>250</v>
      </c>
      <c r="E74" s="20">
        <v>44605</v>
      </c>
      <c r="F74">
        <v>15</v>
      </c>
      <c r="G74">
        <v>60.2</v>
      </c>
      <c r="H74">
        <v>27</v>
      </c>
      <c r="I74">
        <v>3.8</v>
      </c>
      <c r="J74">
        <v>50.5</v>
      </c>
      <c r="K74">
        <v>75</v>
      </c>
      <c r="L74">
        <v>15</v>
      </c>
      <c r="M74" t="s">
        <v>24</v>
      </c>
      <c r="N74">
        <v>17.8</v>
      </c>
      <c r="O74" t="s">
        <v>33</v>
      </c>
      <c r="P74">
        <v>12</v>
      </c>
      <c r="Q74" t="s">
        <v>34</v>
      </c>
      <c r="R74">
        <v>9.5</v>
      </c>
      <c r="S74">
        <v>2022</v>
      </c>
      <c r="T74" t="s">
        <v>48</v>
      </c>
    </row>
    <row r="75" spans="1:20" x14ac:dyDescent="0.3">
      <c r="A75" t="s">
        <v>32</v>
      </c>
      <c r="B75">
        <v>33</v>
      </c>
      <c r="C75" t="s">
        <v>19</v>
      </c>
      <c r="D75">
        <v>38</v>
      </c>
      <c r="E75" s="20">
        <v>44616</v>
      </c>
      <c r="F75">
        <v>19</v>
      </c>
      <c r="G75">
        <v>65.34</v>
      </c>
      <c r="H75">
        <v>26</v>
      </c>
      <c r="I75">
        <v>4.0999999999999996</v>
      </c>
      <c r="J75">
        <v>20</v>
      </c>
      <c r="K75">
        <v>93</v>
      </c>
      <c r="L75">
        <v>16.2</v>
      </c>
      <c r="M75" t="s">
        <v>24</v>
      </c>
      <c r="N75">
        <v>18.899999999999999</v>
      </c>
      <c r="O75" t="s">
        <v>33</v>
      </c>
      <c r="P75">
        <v>13.8</v>
      </c>
      <c r="Q75" t="s">
        <v>34</v>
      </c>
      <c r="R75">
        <v>10.7</v>
      </c>
      <c r="S75">
        <v>2022</v>
      </c>
      <c r="T75" t="s">
        <v>48</v>
      </c>
    </row>
    <row r="76" spans="1:20" x14ac:dyDescent="0.3">
      <c r="A76" t="s">
        <v>32</v>
      </c>
      <c r="B76">
        <v>33</v>
      </c>
      <c r="C76" t="s">
        <v>23</v>
      </c>
      <c r="D76">
        <v>25</v>
      </c>
      <c r="E76" s="20">
        <v>44617</v>
      </c>
      <c r="F76">
        <v>15</v>
      </c>
      <c r="G76">
        <v>60.2</v>
      </c>
      <c r="H76">
        <v>27</v>
      </c>
      <c r="I76">
        <v>3.8</v>
      </c>
      <c r="J76">
        <v>50.5</v>
      </c>
      <c r="K76">
        <v>75</v>
      </c>
      <c r="L76">
        <v>15</v>
      </c>
      <c r="M76" t="s">
        <v>24</v>
      </c>
      <c r="N76">
        <v>17.8</v>
      </c>
      <c r="O76" t="s">
        <v>33</v>
      </c>
      <c r="P76">
        <v>12</v>
      </c>
      <c r="Q76" t="s">
        <v>34</v>
      </c>
      <c r="R76">
        <v>9.5</v>
      </c>
      <c r="S76">
        <v>2022</v>
      </c>
      <c r="T76" t="s">
        <v>48</v>
      </c>
    </row>
    <row r="77" spans="1:20" x14ac:dyDescent="0.3">
      <c r="A77" t="s">
        <v>32</v>
      </c>
      <c r="B77">
        <v>33</v>
      </c>
      <c r="C77" t="s">
        <v>19</v>
      </c>
      <c r="D77">
        <v>38</v>
      </c>
      <c r="E77" s="20">
        <v>44628</v>
      </c>
      <c r="F77">
        <v>19</v>
      </c>
      <c r="G77">
        <v>65.34</v>
      </c>
      <c r="H77">
        <v>26</v>
      </c>
      <c r="I77">
        <v>4.0999999999999996</v>
      </c>
      <c r="J77">
        <v>52.3</v>
      </c>
      <c r="K77">
        <v>93</v>
      </c>
      <c r="L77">
        <v>16.2</v>
      </c>
      <c r="M77" t="s">
        <v>24</v>
      </c>
      <c r="N77">
        <v>18.899999999999999</v>
      </c>
      <c r="O77" t="s">
        <v>33</v>
      </c>
      <c r="P77">
        <v>13.8</v>
      </c>
      <c r="Q77" t="s">
        <v>34</v>
      </c>
      <c r="R77">
        <v>10.7</v>
      </c>
      <c r="S77">
        <v>2022</v>
      </c>
      <c r="T77" t="s">
        <v>49</v>
      </c>
    </row>
    <row r="78" spans="1:20" x14ac:dyDescent="0.3">
      <c r="A78" t="s">
        <v>32</v>
      </c>
      <c r="B78">
        <v>33</v>
      </c>
      <c r="C78" t="s">
        <v>23</v>
      </c>
      <c r="D78">
        <v>125</v>
      </c>
      <c r="E78" s="20">
        <v>44629</v>
      </c>
      <c r="F78">
        <v>15</v>
      </c>
      <c r="G78">
        <v>60.2</v>
      </c>
      <c r="H78">
        <v>27</v>
      </c>
      <c r="I78">
        <v>3.8</v>
      </c>
      <c r="J78">
        <v>50.5</v>
      </c>
      <c r="K78">
        <v>75</v>
      </c>
      <c r="L78">
        <v>15</v>
      </c>
      <c r="M78" t="s">
        <v>24</v>
      </c>
      <c r="N78">
        <v>17.8</v>
      </c>
      <c r="O78" t="s">
        <v>33</v>
      </c>
      <c r="P78">
        <v>12</v>
      </c>
      <c r="Q78" t="s">
        <v>34</v>
      </c>
      <c r="R78">
        <v>9.5</v>
      </c>
      <c r="S78">
        <v>2022</v>
      </c>
      <c r="T78" t="s">
        <v>49</v>
      </c>
    </row>
    <row r="79" spans="1:20" x14ac:dyDescent="0.3">
      <c r="A79" t="s">
        <v>32</v>
      </c>
      <c r="B79">
        <v>33</v>
      </c>
      <c r="C79" t="s">
        <v>19</v>
      </c>
      <c r="D79">
        <v>32</v>
      </c>
      <c r="E79" s="20">
        <v>44640</v>
      </c>
      <c r="F79">
        <v>19</v>
      </c>
      <c r="G79">
        <v>65.34</v>
      </c>
      <c r="H79">
        <v>26</v>
      </c>
      <c r="I79">
        <v>4.2</v>
      </c>
      <c r="J79">
        <v>2</v>
      </c>
      <c r="K79">
        <v>94</v>
      </c>
      <c r="L79">
        <v>16.2</v>
      </c>
      <c r="M79" t="s">
        <v>24</v>
      </c>
      <c r="N79">
        <v>18.899999999999999</v>
      </c>
      <c r="O79" t="s">
        <v>33</v>
      </c>
      <c r="P79">
        <v>13.8</v>
      </c>
      <c r="Q79" t="s">
        <v>34</v>
      </c>
      <c r="R79">
        <v>10.7</v>
      </c>
      <c r="S79">
        <v>2022</v>
      </c>
      <c r="T79" t="s">
        <v>49</v>
      </c>
    </row>
    <row r="80" spans="1:20" x14ac:dyDescent="0.3">
      <c r="A80" t="s">
        <v>32</v>
      </c>
      <c r="B80">
        <v>33</v>
      </c>
      <c r="C80" t="s">
        <v>23</v>
      </c>
      <c r="D80">
        <v>29</v>
      </c>
      <c r="E80" s="20">
        <v>44641</v>
      </c>
      <c r="F80">
        <v>14</v>
      </c>
      <c r="G80">
        <v>60.2</v>
      </c>
      <c r="H80">
        <v>27</v>
      </c>
      <c r="I80">
        <v>3.9</v>
      </c>
      <c r="J80">
        <v>50.5</v>
      </c>
      <c r="K80">
        <v>75</v>
      </c>
      <c r="L80">
        <v>15</v>
      </c>
      <c r="M80" t="s">
        <v>24</v>
      </c>
      <c r="N80">
        <v>17.8</v>
      </c>
      <c r="O80" t="s">
        <v>33</v>
      </c>
      <c r="P80">
        <v>12</v>
      </c>
      <c r="Q80" t="s">
        <v>34</v>
      </c>
      <c r="R80">
        <v>9.5</v>
      </c>
      <c r="S80">
        <v>2022</v>
      </c>
      <c r="T80" t="s">
        <v>49</v>
      </c>
    </row>
    <row r="81" spans="1:20" x14ac:dyDescent="0.3">
      <c r="A81" t="s">
        <v>32</v>
      </c>
      <c r="B81">
        <v>33</v>
      </c>
      <c r="C81" t="s">
        <v>19</v>
      </c>
      <c r="D81">
        <v>32</v>
      </c>
      <c r="E81" s="20">
        <v>44652</v>
      </c>
      <c r="F81">
        <v>19</v>
      </c>
      <c r="G81">
        <v>65.34</v>
      </c>
      <c r="H81">
        <v>26</v>
      </c>
      <c r="I81">
        <v>4.2</v>
      </c>
      <c r="J81">
        <v>52.3</v>
      </c>
      <c r="K81">
        <v>94</v>
      </c>
      <c r="L81">
        <v>16.2</v>
      </c>
      <c r="M81" t="s">
        <v>24</v>
      </c>
      <c r="N81">
        <v>18.899999999999999</v>
      </c>
      <c r="O81" t="s">
        <v>33</v>
      </c>
      <c r="P81">
        <v>13.8</v>
      </c>
      <c r="Q81" t="s">
        <v>34</v>
      </c>
      <c r="R81">
        <v>10.7</v>
      </c>
      <c r="S81">
        <v>2022</v>
      </c>
      <c r="T81" t="s">
        <v>50</v>
      </c>
    </row>
    <row r="82" spans="1:20" x14ac:dyDescent="0.3">
      <c r="A82" t="s">
        <v>32</v>
      </c>
      <c r="B82">
        <v>33</v>
      </c>
      <c r="C82" t="s">
        <v>23</v>
      </c>
      <c r="D82">
        <v>129</v>
      </c>
      <c r="E82" s="20">
        <v>44653</v>
      </c>
      <c r="F82">
        <v>14</v>
      </c>
      <c r="G82">
        <v>60.2</v>
      </c>
      <c r="H82">
        <v>27</v>
      </c>
      <c r="I82">
        <v>3.9</v>
      </c>
      <c r="J82">
        <v>50.5</v>
      </c>
      <c r="K82">
        <v>75</v>
      </c>
      <c r="L82">
        <v>15</v>
      </c>
      <c r="M82" t="s">
        <v>24</v>
      </c>
      <c r="N82">
        <v>17.8</v>
      </c>
      <c r="O82" t="s">
        <v>33</v>
      </c>
      <c r="P82">
        <v>12</v>
      </c>
      <c r="Q82" t="s">
        <v>34</v>
      </c>
      <c r="R82">
        <v>9.5</v>
      </c>
      <c r="S82">
        <v>2022</v>
      </c>
      <c r="T82" t="s">
        <v>50</v>
      </c>
    </row>
    <row r="83" spans="1:20" x14ac:dyDescent="0.3">
      <c r="A83" t="s">
        <v>32</v>
      </c>
      <c r="B83">
        <v>33</v>
      </c>
      <c r="C83" t="s">
        <v>19</v>
      </c>
      <c r="D83">
        <v>133</v>
      </c>
      <c r="E83" s="20">
        <v>44664</v>
      </c>
      <c r="F83">
        <v>20</v>
      </c>
      <c r="G83">
        <v>63</v>
      </c>
      <c r="H83">
        <v>28</v>
      </c>
      <c r="I83">
        <v>4.3</v>
      </c>
      <c r="J83">
        <v>53</v>
      </c>
      <c r="K83">
        <v>96</v>
      </c>
      <c r="L83">
        <v>15</v>
      </c>
      <c r="M83" t="s">
        <v>24</v>
      </c>
      <c r="N83">
        <v>19</v>
      </c>
      <c r="O83" t="s">
        <v>33</v>
      </c>
      <c r="P83">
        <v>14</v>
      </c>
      <c r="Q83" t="s">
        <v>34</v>
      </c>
      <c r="R83">
        <v>11</v>
      </c>
      <c r="S83">
        <v>2022</v>
      </c>
      <c r="T83" t="s">
        <v>50</v>
      </c>
    </row>
    <row r="84" spans="1:20" x14ac:dyDescent="0.3">
      <c r="A84" t="s">
        <v>32</v>
      </c>
      <c r="B84">
        <v>33</v>
      </c>
      <c r="C84" t="s">
        <v>23</v>
      </c>
      <c r="D84">
        <v>26</v>
      </c>
      <c r="E84" s="20">
        <v>44665</v>
      </c>
      <c r="F84">
        <v>15</v>
      </c>
      <c r="G84">
        <v>59</v>
      </c>
      <c r="H84">
        <v>29</v>
      </c>
      <c r="I84">
        <v>3.9</v>
      </c>
      <c r="J84">
        <v>51</v>
      </c>
      <c r="K84">
        <v>80</v>
      </c>
      <c r="L84">
        <v>14</v>
      </c>
      <c r="M84" t="s">
        <v>24</v>
      </c>
      <c r="N84">
        <v>18</v>
      </c>
      <c r="O84" t="s">
        <v>33</v>
      </c>
      <c r="P84">
        <v>13</v>
      </c>
      <c r="Q84" t="s">
        <v>34</v>
      </c>
      <c r="R84">
        <v>10</v>
      </c>
      <c r="S84">
        <v>2022</v>
      </c>
      <c r="T84" t="s">
        <v>50</v>
      </c>
    </row>
    <row r="85" spans="1:20" x14ac:dyDescent="0.3">
      <c r="A85" t="s">
        <v>32</v>
      </c>
      <c r="B85">
        <v>33</v>
      </c>
      <c r="C85" t="s">
        <v>19</v>
      </c>
      <c r="D85">
        <v>32</v>
      </c>
      <c r="E85" s="20">
        <v>44687</v>
      </c>
      <c r="F85">
        <v>19</v>
      </c>
      <c r="G85">
        <v>65.34</v>
      </c>
      <c r="H85">
        <v>27</v>
      </c>
      <c r="I85">
        <v>4.2</v>
      </c>
      <c r="J85">
        <v>52.3</v>
      </c>
      <c r="K85">
        <v>94</v>
      </c>
      <c r="L85">
        <v>16.2</v>
      </c>
      <c r="M85" t="s">
        <v>24</v>
      </c>
      <c r="N85">
        <v>18.899999999999999</v>
      </c>
      <c r="O85" t="s">
        <v>33</v>
      </c>
      <c r="P85">
        <v>13.8</v>
      </c>
      <c r="Q85" t="s">
        <v>34</v>
      </c>
      <c r="R85">
        <v>10.7</v>
      </c>
      <c r="S85">
        <v>2022</v>
      </c>
      <c r="T85" t="s">
        <v>51</v>
      </c>
    </row>
    <row r="86" spans="1:20" x14ac:dyDescent="0.3">
      <c r="A86" t="s">
        <v>32</v>
      </c>
      <c r="B86">
        <v>33</v>
      </c>
      <c r="C86" t="s">
        <v>23</v>
      </c>
      <c r="D86">
        <v>29</v>
      </c>
      <c r="E86" s="20">
        <v>44688</v>
      </c>
      <c r="F86">
        <v>14</v>
      </c>
      <c r="G86">
        <v>60.2</v>
      </c>
      <c r="H86">
        <v>28</v>
      </c>
      <c r="I86">
        <v>3.9</v>
      </c>
      <c r="J86">
        <v>50.5</v>
      </c>
      <c r="K86">
        <v>75</v>
      </c>
      <c r="L86">
        <v>15</v>
      </c>
      <c r="M86" t="s">
        <v>24</v>
      </c>
      <c r="N86">
        <v>17.8</v>
      </c>
      <c r="O86" t="s">
        <v>33</v>
      </c>
      <c r="P86">
        <v>12</v>
      </c>
      <c r="Q86" t="s">
        <v>34</v>
      </c>
      <c r="R86">
        <v>9.5</v>
      </c>
      <c r="S86">
        <v>2022</v>
      </c>
      <c r="T86" t="s">
        <v>51</v>
      </c>
    </row>
    <row r="87" spans="1:20" x14ac:dyDescent="0.3">
      <c r="A87" t="s">
        <v>32</v>
      </c>
      <c r="B87">
        <v>33</v>
      </c>
      <c r="C87" t="s">
        <v>35</v>
      </c>
      <c r="D87">
        <v>2</v>
      </c>
      <c r="E87" s="20">
        <v>44689</v>
      </c>
      <c r="F87">
        <v>10</v>
      </c>
      <c r="G87">
        <v>58</v>
      </c>
      <c r="H87">
        <v>29</v>
      </c>
      <c r="I87">
        <v>3.6</v>
      </c>
      <c r="J87">
        <v>48</v>
      </c>
      <c r="K87">
        <v>51</v>
      </c>
      <c r="L87">
        <v>13</v>
      </c>
      <c r="M87" t="s">
        <v>24</v>
      </c>
      <c r="N87">
        <v>16</v>
      </c>
      <c r="O87" t="s">
        <v>33</v>
      </c>
      <c r="P87">
        <v>11</v>
      </c>
      <c r="Q87" t="s">
        <v>34</v>
      </c>
      <c r="R87">
        <v>8</v>
      </c>
      <c r="S87">
        <v>2022</v>
      </c>
      <c r="T87" t="s">
        <v>51</v>
      </c>
    </row>
    <row r="88" spans="1:20" x14ac:dyDescent="0.3">
      <c r="A88" t="s">
        <v>32</v>
      </c>
      <c r="B88">
        <v>33</v>
      </c>
      <c r="C88" t="s">
        <v>19</v>
      </c>
      <c r="D88">
        <v>33</v>
      </c>
      <c r="E88" s="20">
        <v>44704</v>
      </c>
      <c r="F88">
        <v>20</v>
      </c>
      <c r="G88">
        <v>63</v>
      </c>
      <c r="H88">
        <v>26</v>
      </c>
      <c r="I88">
        <v>4.3</v>
      </c>
      <c r="J88">
        <v>53</v>
      </c>
      <c r="K88">
        <v>96</v>
      </c>
      <c r="L88">
        <v>15</v>
      </c>
      <c r="M88" t="s">
        <v>24</v>
      </c>
      <c r="N88">
        <v>19</v>
      </c>
      <c r="O88" t="s">
        <v>33</v>
      </c>
      <c r="P88">
        <v>14</v>
      </c>
      <c r="Q88" t="s">
        <v>34</v>
      </c>
      <c r="R88">
        <v>11</v>
      </c>
      <c r="S88">
        <v>2022</v>
      </c>
      <c r="T88" t="s">
        <v>51</v>
      </c>
    </row>
    <row r="89" spans="1:20" x14ac:dyDescent="0.3">
      <c r="A89" t="s">
        <v>32</v>
      </c>
      <c r="B89">
        <v>33</v>
      </c>
      <c r="C89" t="s">
        <v>23</v>
      </c>
      <c r="D89">
        <v>29</v>
      </c>
      <c r="E89" s="20">
        <v>44705</v>
      </c>
      <c r="F89">
        <v>15</v>
      </c>
      <c r="G89">
        <v>59</v>
      </c>
      <c r="H89">
        <v>27</v>
      </c>
      <c r="I89">
        <v>3.9</v>
      </c>
      <c r="J89">
        <v>51</v>
      </c>
      <c r="K89">
        <v>80</v>
      </c>
      <c r="L89">
        <v>14</v>
      </c>
      <c r="M89" t="s">
        <v>24</v>
      </c>
      <c r="N89">
        <v>18</v>
      </c>
      <c r="O89" t="s">
        <v>33</v>
      </c>
      <c r="P89">
        <v>13</v>
      </c>
      <c r="Q89" t="s">
        <v>34</v>
      </c>
      <c r="R89">
        <v>10</v>
      </c>
      <c r="S89">
        <v>2022</v>
      </c>
      <c r="T89" t="s">
        <v>51</v>
      </c>
    </row>
    <row r="90" spans="1:20" x14ac:dyDescent="0.3">
      <c r="A90" t="s">
        <v>32</v>
      </c>
      <c r="B90">
        <v>33</v>
      </c>
      <c r="C90" t="s">
        <v>35</v>
      </c>
      <c r="D90">
        <v>2</v>
      </c>
      <c r="E90" s="20">
        <v>44706</v>
      </c>
      <c r="F90">
        <v>10</v>
      </c>
      <c r="G90">
        <v>58</v>
      </c>
      <c r="H90">
        <v>28</v>
      </c>
      <c r="I90">
        <v>3.6</v>
      </c>
      <c r="J90">
        <v>48</v>
      </c>
      <c r="K90">
        <v>51</v>
      </c>
      <c r="L90">
        <v>13</v>
      </c>
      <c r="M90" t="s">
        <v>24</v>
      </c>
      <c r="N90">
        <v>16</v>
      </c>
      <c r="O90" t="s">
        <v>33</v>
      </c>
      <c r="P90">
        <v>11</v>
      </c>
      <c r="Q90" t="s">
        <v>34</v>
      </c>
      <c r="R90">
        <v>8</v>
      </c>
      <c r="S90">
        <v>2022</v>
      </c>
      <c r="T90" t="s">
        <v>51</v>
      </c>
    </row>
    <row r="91" spans="1:20" x14ac:dyDescent="0.3">
      <c r="A91" t="s">
        <v>32</v>
      </c>
      <c r="B91">
        <v>33</v>
      </c>
      <c r="C91" t="s">
        <v>19</v>
      </c>
      <c r="D91">
        <v>34</v>
      </c>
      <c r="E91" s="20">
        <v>44716</v>
      </c>
      <c r="F91">
        <v>20</v>
      </c>
      <c r="G91">
        <v>63</v>
      </c>
      <c r="H91">
        <v>26</v>
      </c>
      <c r="I91">
        <v>4.3</v>
      </c>
      <c r="J91">
        <v>53</v>
      </c>
      <c r="K91">
        <v>96</v>
      </c>
      <c r="L91">
        <v>15</v>
      </c>
      <c r="M91" t="s">
        <v>24</v>
      </c>
      <c r="N91">
        <v>19</v>
      </c>
      <c r="O91" t="s">
        <v>33</v>
      </c>
      <c r="P91">
        <v>14</v>
      </c>
      <c r="Q91" t="s">
        <v>34</v>
      </c>
      <c r="R91">
        <v>11</v>
      </c>
      <c r="S91">
        <v>2022</v>
      </c>
      <c r="T91" t="s">
        <v>52</v>
      </c>
    </row>
    <row r="92" spans="1:20" x14ac:dyDescent="0.3">
      <c r="A92" t="s">
        <v>32</v>
      </c>
      <c r="B92">
        <v>33</v>
      </c>
      <c r="C92" t="s">
        <v>23</v>
      </c>
      <c r="D92">
        <v>30</v>
      </c>
      <c r="E92" s="20">
        <v>44717</v>
      </c>
      <c r="F92">
        <v>15</v>
      </c>
      <c r="G92">
        <v>59</v>
      </c>
      <c r="H92">
        <v>27</v>
      </c>
      <c r="I92">
        <v>3.9</v>
      </c>
      <c r="J92">
        <v>51</v>
      </c>
      <c r="K92">
        <v>80</v>
      </c>
      <c r="L92">
        <v>14</v>
      </c>
      <c r="M92" t="s">
        <v>24</v>
      </c>
      <c r="N92">
        <v>18</v>
      </c>
      <c r="O92" t="s">
        <v>33</v>
      </c>
      <c r="P92">
        <v>13</v>
      </c>
      <c r="Q92" t="s">
        <v>34</v>
      </c>
      <c r="R92">
        <v>10</v>
      </c>
      <c r="S92">
        <v>2022</v>
      </c>
      <c r="T92" t="s">
        <v>52</v>
      </c>
    </row>
    <row r="93" spans="1:20" x14ac:dyDescent="0.3">
      <c r="A93" t="s">
        <v>32</v>
      </c>
      <c r="B93">
        <v>33</v>
      </c>
      <c r="C93" t="s">
        <v>35</v>
      </c>
      <c r="D93">
        <v>4</v>
      </c>
      <c r="E93" s="20">
        <v>44718</v>
      </c>
      <c r="F93">
        <v>10</v>
      </c>
      <c r="G93">
        <v>58</v>
      </c>
      <c r="H93">
        <v>28</v>
      </c>
      <c r="I93">
        <v>3.6</v>
      </c>
      <c r="J93">
        <v>48</v>
      </c>
      <c r="K93">
        <v>51</v>
      </c>
      <c r="L93">
        <v>13</v>
      </c>
      <c r="M93" t="s">
        <v>24</v>
      </c>
      <c r="N93">
        <v>16</v>
      </c>
      <c r="O93" t="s">
        <v>33</v>
      </c>
      <c r="P93">
        <v>11</v>
      </c>
      <c r="Q93" t="s">
        <v>34</v>
      </c>
      <c r="R93">
        <v>8</v>
      </c>
      <c r="S93">
        <v>2022</v>
      </c>
      <c r="T93" t="s">
        <v>52</v>
      </c>
    </row>
    <row r="94" spans="1:20" x14ac:dyDescent="0.3">
      <c r="A94" t="s">
        <v>32</v>
      </c>
      <c r="B94">
        <v>33</v>
      </c>
      <c r="C94" t="s">
        <v>19</v>
      </c>
      <c r="D94">
        <v>34</v>
      </c>
      <c r="E94" s="20">
        <v>44736</v>
      </c>
      <c r="F94">
        <v>20</v>
      </c>
      <c r="G94">
        <v>63</v>
      </c>
      <c r="H94">
        <v>77</v>
      </c>
      <c r="I94">
        <v>4.3</v>
      </c>
      <c r="J94">
        <v>53</v>
      </c>
      <c r="K94">
        <v>96</v>
      </c>
      <c r="L94">
        <v>15</v>
      </c>
      <c r="M94" t="s">
        <v>24</v>
      </c>
      <c r="N94">
        <v>19</v>
      </c>
      <c r="O94" t="s">
        <v>33</v>
      </c>
      <c r="P94">
        <v>14</v>
      </c>
      <c r="Q94" t="s">
        <v>34</v>
      </c>
      <c r="R94">
        <v>11</v>
      </c>
      <c r="S94">
        <v>2022</v>
      </c>
      <c r="T94" t="s">
        <v>52</v>
      </c>
    </row>
    <row r="95" spans="1:20" x14ac:dyDescent="0.3">
      <c r="A95" t="s">
        <v>32</v>
      </c>
      <c r="B95">
        <v>33</v>
      </c>
      <c r="C95" t="s">
        <v>23</v>
      </c>
      <c r="D95">
        <v>30</v>
      </c>
      <c r="E95" s="20">
        <v>44737</v>
      </c>
      <c r="F95">
        <v>15</v>
      </c>
      <c r="G95">
        <v>59</v>
      </c>
      <c r="H95">
        <v>78</v>
      </c>
      <c r="I95">
        <v>3.9</v>
      </c>
      <c r="J95">
        <v>51</v>
      </c>
      <c r="K95">
        <v>80</v>
      </c>
      <c r="L95">
        <v>14</v>
      </c>
      <c r="M95" t="s">
        <v>24</v>
      </c>
      <c r="N95">
        <v>18</v>
      </c>
      <c r="O95" t="s">
        <v>33</v>
      </c>
      <c r="P95">
        <v>13</v>
      </c>
      <c r="Q95" t="s">
        <v>34</v>
      </c>
      <c r="R95">
        <v>10</v>
      </c>
      <c r="S95">
        <v>2022</v>
      </c>
      <c r="T95" t="s">
        <v>52</v>
      </c>
    </row>
    <row r="96" spans="1:20" x14ac:dyDescent="0.3">
      <c r="A96" t="s">
        <v>32</v>
      </c>
      <c r="B96">
        <v>33</v>
      </c>
      <c r="C96" t="s">
        <v>35</v>
      </c>
      <c r="D96">
        <v>4</v>
      </c>
      <c r="E96" s="20">
        <v>44738</v>
      </c>
      <c r="F96">
        <v>10</v>
      </c>
      <c r="G96">
        <v>58</v>
      </c>
      <c r="H96">
        <v>79</v>
      </c>
      <c r="I96">
        <v>3.6</v>
      </c>
      <c r="J96">
        <v>48</v>
      </c>
      <c r="K96">
        <v>51</v>
      </c>
      <c r="L96">
        <v>13</v>
      </c>
      <c r="M96" t="s">
        <v>24</v>
      </c>
      <c r="N96">
        <v>16</v>
      </c>
      <c r="O96" t="s">
        <v>33</v>
      </c>
      <c r="P96">
        <v>11</v>
      </c>
      <c r="Q96" t="s">
        <v>34</v>
      </c>
      <c r="R96">
        <v>8</v>
      </c>
      <c r="S96">
        <v>2022</v>
      </c>
      <c r="T96" t="s">
        <v>52</v>
      </c>
    </row>
    <row r="97" spans="1:20" x14ac:dyDescent="0.3">
      <c r="A97" t="s">
        <v>26</v>
      </c>
      <c r="B97">
        <v>26</v>
      </c>
      <c r="C97" t="s">
        <v>19</v>
      </c>
      <c r="D97">
        <v>30</v>
      </c>
      <c r="E97" s="20">
        <v>44574</v>
      </c>
      <c r="F97">
        <v>9</v>
      </c>
      <c r="G97">
        <v>6.04</v>
      </c>
      <c r="H97">
        <v>78</v>
      </c>
      <c r="I97">
        <v>3.2</v>
      </c>
      <c r="J97">
        <v>48.7</v>
      </c>
      <c r="K97">
        <v>35</v>
      </c>
      <c r="L97">
        <v>5.8</v>
      </c>
      <c r="M97" t="s">
        <v>27</v>
      </c>
      <c r="N97">
        <v>23.6</v>
      </c>
      <c r="O97" t="s">
        <v>21</v>
      </c>
      <c r="P97">
        <v>18.399999999999999</v>
      </c>
      <c r="Q97" t="s">
        <v>22</v>
      </c>
      <c r="R97">
        <v>11.6</v>
      </c>
      <c r="S97">
        <v>2022</v>
      </c>
      <c r="T97" t="s">
        <v>47</v>
      </c>
    </row>
    <row r="98" spans="1:20" x14ac:dyDescent="0.3">
      <c r="A98" t="s">
        <v>26</v>
      </c>
      <c r="B98">
        <v>26</v>
      </c>
      <c r="C98" t="s">
        <v>23</v>
      </c>
      <c r="D98">
        <v>35</v>
      </c>
      <c r="E98" s="20">
        <v>44575</v>
      </c>
      <c r="F98">
        <v>14</v>
      </c>
      <c r="G98">
        <v>7.5</v>
      </c>
      <c r="H98">
        <v>75</v>
      </c>
      <c r="I98">
        <v>3.1</v>
      </c>
      <c r="J98">
        <v>46.2</v>
      </c>
      <c r="K98">
        <v>29</v>
      </c>
      <c r="L98">
        <v>5.5</v>
      </c>
      <c r="M98" t="s">
        <v>27</v>
      </c>
      <c r="N98">
        <v>22</v>
      </c>
      <c r="O98" t="s">
        <v>21</v>
      </c>
      <c r="P98">
        <v>16.7</v>
      </c>
      <c r="Q98" t="s">
        <v>22</v>
      </c>
      <c r="R98">
        <v>10.8</v>
      </c>
      <c r="S98">
        <v>2022</v>
      </c>
      <c r="T98" t="s">
        <v>47</v>
      </c>
    </row>
    <row r="99" spans="1:20" x14ac:dyDescent="0.3">
      <c r="A99" t="s">
        <v>26</v>
      </c>
      <c r="B99">
        <v>26</v>
      </c>
      <c r="C99" t="s">
        <v>19</v>
      </c>
      <c r="D99">
        <v>35</v>
      </c>
      <c r="E99" s="20">
        <v>44586</v>
      </c>
      <c r="F99">
        <v>9</v>
      </c>
      <c r="G99">
        <v>6.04</v>
      </c>
      <c r="H99">
        <v>78</v>
      </c>
      <c r="I99">
        <v>3.4</v>
      </c>
      <c r="J99">
        <v>48.7</v>
      </c>
      <c r="K99">
        <v>36</v>
      </c>
      <c r="L99">
        <v>5.8</v>
      </c>
      <c r="M99" t="s">
        <v>27</v>
      </c>
      <c r="N99">
        <v>23.6</v>
      </c>
      <c r="O99" t="s">
        <v>21</v>
      </c>
      <c r="P99">
        <v>18.399999999999999</v>
      </c>
      <c r="Q99" t="s">
        <v>22</v>
      </c>
      <c r="R99">
        <v>11.6</v>
      </c>
      <c r="S99">
        <v>2022</v>
      </c>
      <c r="T99" t="s">
        <v>47</v>
      </c>
    </row>
    <row r="100" spans="1:20" x14ac:dyDescent="0.3">
      <c r="A100" t="s">
        <v>26</v>
      </c>
      <c r="B100">
        <v>26</v>
      </c>
      <c r="C100" t="s">
        <v>23</v>
      </c>
      <c r="D100">
        <v>32</v>
      </c>
      <c r="E100" s="20">
        <v>44587</v>
      </c>
      <c r="F100">
        <v>12</v>
      </c>
      <c r="G100">
        <v>7.5</v>
      </c>
      <c r="H100">
        <v>75</v>
      </c>
      <c r="I100">
        <v>3</v>
      </c>
      <c r="J100">
        <v>46.2</v>
      </c>
      <c r="K100">
        <v>29</v>
      </c>
      <c r="L100">
        <v>5.5</v>
      </c>
      <c r="M100" t="s">
        <v>27</v>
      </c>
      <c r="N100">
        <v>22</v>
      </c>
      <c r="O100" t="s">
        <v>21</v>
      </c>
      <c r="P100">
        <v>16.7</v>
      </c>
      <c r="Q100" t="s">
        <v>22</v>
      </c>
      <c r="R100">
        <v>10.8</v>
      </c>
      <c r="S100">
        <v>2022</v>
      </c>
      <c r="T100" t="s">
        <v>47</v>
      </c>
    </row>
    <row r="101" spans="1:20" x14ac:dyDescent="0.3">
      <c r="A101" t="s">
        <v>26</v>
      </c>
      <c r="B101">
        <v>26</v>
      </c>
      <c r="C101" t="s">
        <v>19</v>
      </c>
      <c r="D101">
        <v>27</v>
      </c>
      <c r="E101" s="20">
        <v>44598</v>
      </c>
      <c r="F101">
        <v>8</v>
      </c>
      <c r="G101">
        <v>6.04</v>
      </c>
      <c r="H101">
        <v>78</v>
      </c>
      <c r="I101">
        <v>3.2</v>
      </c>
      <c r="J101">
        <v>48.7</v>
      </c>
      <c r="K101">
        <v>34</v>
      </c>
      <c r="L101">
        <v>5.8</v>
      </c>
      <c r="M101" t="s">
        <v>27</v>
      </c>
      <c r="N101">
        <v>23.6</v>
      </c>
      <c r="O101" t="s">
        <v>21</v>
      </c>
      <c r="P101">
        <v>18.399999999999999</v>
      </c>
      <c r="Q101" t="s">
        <v>22</v>
      </c>
      <c r="R101">
        <v>11.6</v>
      </c>
      <c r="S101">
        <v>2022</v>
      </c>
      <c r="T101" t="s">
        <v>48</v>
      </c>
    </row>
    <row r="102" spans="1:20" x14ac:dyDescent="0.3">
      <c r="A102" t="s">
        <v>26</v>
      </c>
      <c r="B102">
        <v>26</v>
      </c>
      <c r="C102" t="s">
        <v>23</v>
      </c>
      <c r="D102">
        <v>30</v>
      </c>
      <c r="E102" s="20">
        <v>44599</v>
      </c>
      <c r="F102">
        <v>10</v>
      </c>
      <c r="G102">
        <v>7.5</v>
      </c>
      <c r="H102">
        <v>75</v>
      </c>
      <c r="I102">
        <v>3</v>
      </c>
      <c r="J102">
        <v>46.2</v>
      </c>
      <c r="K102">
        <v>27</v>
      </c>
      <c r="L102">
        <v>5.5</v>
      </c>
      <c r="M102" t="s">
        <v>27</v>
      </c>
      <c r="N102">
        <v>22</v>
      </c>
      <c r="O102" t="s">
        <v>21</v>
      </c>
      <c r="P102">
        <v>16.7</v>
      </c>
      <c r="Q102" t="s">
        <v>22</v>
      </c>
      <c r="R102">
        <v>10.8</v>
      </c>
      <c r="S102">
        <v>2022</v>
      </c>
      <c r="T102" t="s">
        <v>48</v>
      </c>
    </row>
    <row r="103" spans="1:20" x14ac:dyDescent="0.3">
      <c r="A103" t="s">
        <v>26</v>
      </c>
      <c r="B103">
        <v>26</v>
      </c>
      <c r="C103" t="s">
        <v>19</v>
      </c>
      <c r="D103">
        <v>42</v>
      </c>
      <c r="E103" s="20">
        <v>44610</v>
      </c>
      <c r="F103">
        <v>8</v>
      </c>
      <c r="G103">
        <v>6.04</v>
      </c>
      <c r="H103">
        <v>78</v>
      </c>
      <c r="I103">
        <v>3.2</v>
      </c>
      <c r="J103">
        <v>48.7</v>
      </c>
      <c r="K103">
        <v>34</v>
      </c>
      <c r="L103">
        <v>5.8</v>
      </c>
      <c r="M103" t="s">
        <v>27</v>
      </c>
      <c r="N103">
        <v>23.6</v>
      </c>
      <c r="O103" t="s">
        <v>21</v>
      </c>
      <c r="P103">
        <v>18.399999999999999</v>
      </c>
      <c r="Q103" t="s">
        <v>22</v>
      </c>
      <c r="R103">
        <v>11.6</v>
      </c>
      <c r="S103">
        <v>2022</v>
      </c>
      <c r="T103" t="s">
        <v>48</v>
      </c>
    </row>
    <row r="104" spans="1:20" x14ac:dyDescent="0.3">
      <c r="A104" t="s">
        <v>26</v>
      </c>
      <c r="B104">
        <v>26</v>
      </c>
      <c r="C104" t="s">
        <v>23</v>
      </c>
      <c r="D104">
        <v>30</v>
      </c>
      <c r="E104" s="20">
        <v>44611</v>
      </c>
      <c r="F104">
        <v>10</v>
      </c>
      <c r="G104">
        <v>7.5</v>
      </c>
      <c r="H104">
        <v>75</v>
      </c>
      <c r="I104">
        <v>3</v>
      </c>
      <c r="J104">
        <v>46.2</v>
      </c>
      <c r="K104">
        <v>27</v>
      </c>
      <c r="L104">
        <v>5.5</v>
      </c>
      <c r="M104" t="s">
        <v>27</v>
      </c>
      <c r="N104">
        <v>22</v>
      </c>
      <c r="O104" t="s">
        <v>21</v>
      </c>
      <c r="P104">
        <v>16.7</v>
      </c>
      <c r="Q104" t="s">
        <v>22</v>
      </c>
      <c r="R104">
        <v>10.8</v>
      </c>
      <c r="S104">
        <v>2022</v>
      </c>
      <c r="T104" t="s">
        <v>48</v>
      </c>
    </row>
    <row r="105" spans="1:20" x14ac:dyDescent="0.3">
      <c r="A105" t="s">
        <v>26</v>
      </c>
      <c r="B105">
        <v>26</v>
      </c>
      <c r="C105" t="s">
        <v>19</v>
      </c>
      <c r="D105">
        <v>42</v>
      </c>
      <c r="E105" s="20">
        <v>44622</v>
      </c>
      <c r="F105">
        <v>8</v>
      </c>
      <c r="G105">
        <v>6.04</v>
      </c>
      <c r="H105">
        <v>78</v>
      </c>
      <c r="I105">
        <v>3.2</v>
      </c>
      <c r="J105">
        <v>48.7</v>
      </c>
      <c r="K105">
        <v>34</v>
      </c>
      <c r="L105">
        <v>5.8</v>
      </c>
      <c r="M105" t="s">
        <v>27</v>
      </c>
      <c r="N105">
        <v>23.6</v>
      </c>
      <c r="O105" t="s">
        <v>21</v>
      </c>
      <c r="P105">
        <v>18.399999999999999</v>
      </c>
      <c r="Q105" t="s">
        <v>22</v>
      </c>
      <c r="R105">
        <v>11.6</v>
      </c>
      <c r="S105">
        <v>2022</v>
      </c>
      <c r="T105" t="s">
        <v>49</v>
      </c>
    </row>
    <row r="106" spans="1:20" x14ac:dyDescent="0.3">
      <c r="A106" t="s">
        <v>26</v>
      </c>
      <c r="B106">
        <v>26</v>
      </c>
      <c r="C106" t="s">
        <v>23</v>
      </c>
      <c r="D106">
        <v>30</v>
      </c>
      <c r="E106" s="20">
        <v>44623</v>
      </c>
      <c r="F106">
        <v>10</v>
      </c>
      <c r="G106">
        <v>7.5</v>
      </c>
      <c r="H106">
        <v>75</v>
      </c>
      <c r="I106">
        <v>3</v>
      </c>
      <c r="J106">
        <v>46.2</v>
      </c>
      <c r="K106">
        <v>27</v>
      </c>
      <c r="L106">
        <v>5.5</v>
      </c>
      <c r="M106" t="s">
        <v>27</v>
      </c>
      <c r="N106">
        <v>22</v>
      </c>
      <c r="O106" t="s">
        <v>21</v>
      </c>
      <c r="P106">
        <v>16.7</v>
      </c>
      <c r="Q106" t="s">
        <v>22</v>
      </c>
      <c r="R106">
        <v>10.8</v>
      </c>
      <c r="S106">
        <v>2022</v>
      </c>
      <c r="T106" t="s">
        <v>49</v>
      </c>
    </row>
    <row r="107" spans="1:20" x14ac:dyDescent="0.3">
      <c r="A107" t="s">
        <v>26</v>
      </c>
      <c r="B107">
        <v>26</v>
      </c>
      <c r="C107" t="s">
        <v>19</v>
      </c>
      <c r="D107">
        <v>133</v>
      </c>
      <c r="E107" s="20">
        <v>44634</v>
      </c>
      <c r="F107">
        <v>10</v>
      </c>
      <c r="G107">
        <v>6.04</v>
      </c>
      <c r="H107">
        <v>78</v>
      </c>
      <c r="I107">
        <v>3.1</v>
      </c>
      <c r="J107">
        <v>48.7</v>
      </c>
      <c r="K107">
        <v>35</v>
      </c>
      <c r="L107">
        <v>5.8</v>
      </c>
      <c r="M107" t="s">
        <v>27</v>
      </c>
      <c r="N107">
        <v>23.6</v>
      </c>
      <c r="O107" t="s">
        <v>21</v>
      </c>
      <c r="P107">
        <v>18.399999999999999</v>
      </c>
      <c r="Q107" t="s">
        <v>22</v>
      </c>
      <c r="R107">
        <v>11.6</v>
      </c>
      <c r="S107">
        <v>2022</v>
      </c>
      <c r="T107" t="s">
        <v>49</v>
      </c>
    </row>
    <row r="108" spans="1:20" x14ac:dyDescent="0.3">
      <c r="A108" t="s">
        <v>26</v>
      </c>
      <c r="B108">
        <v>26</v>
      </c>
      <c r="C108" t="s">
        <v>23</v>
      </c>
      <c r="D108">
        <v>39</v>
      </c>
      <c r="E108" s="20">
        <v>44635</v>
      </c>
      <c r="F108">
        <v>15</v>
      </c>
      <c r="G108">
        <v>7.5</v>
      </c>
      <c r="H108">
        <v>75</v>
      </c>
      <c r="I108">
        <v>3.2</v>
      </c>
      <c r="J108">
        <v>46.2</v>
      </c>
      <c r="K108">
        <v>30</v>
      </c>
      <c r="L108">
        <v>5.5</v>
      </c>
      <c r="M108" t="s">
        <v>27</v>
      </c>
      <c r="N108">
        <v>22</v>
      </c>
      <c r="O108" t="s">
        <v>21</v>
      </c>
      <c r="P108">
        <v>16.7</v>
      </c>
      <c r="Q108" t="s">
        <v>22</v>
      </c>
      <c r="R108">
        <v>10.8</v>
      </c>
      <c r="S108">
        <v>2022</v>
      </c>
      <c r="T108" t="s">
        <v>49</v>
      </c>
    </row>
    <row r="109" spans="1:20" x14ac:dyDescent="0.3">
      <c r="A109" t="s">
        <v>26</v>
      </c>
      <c r="B109">
        <v>26</v>
      </c>
      <c r="C109" t="s">
        <v>19</v>
      </c>
      <c r="D109">
        <v>33</v>
      </c>
      <c r="E109" s="20">
        <v>44646</v>
      </c>
      <c r="F109">
        <v>10</v>
      </c>
      <c r="G109">
        <v>6.04</v>
      </c>
      <c r="H109">
        <v>78</v>
      </c>
      <c r="I109">
        <v>3.1</v>
      </c>
      <c r="J109">
        <v>48.7</v>
      </c>
      <c r="K109">
        <v>35</v>
      </c>
      <c r="L109">
        <v>5.8</v>
      </c>
      <c r="M109" t="s">
        <v>27</v>
      </c>
      <c r="N109">
        <v>23.6</v>
      </c>
      <c r="O109" t="s">
        <v>21</v>
      </c>
      <c r="P109">
        <v>18.399999999999999</v>
      </c>
      <c r="Q109" t="s">
        <v>22</v>
      </c>
      <c r="R109">
        <v>11.6</v>
      </c>
      <c r="S109">
        <v>2022</v>
      </c>
      <c r="T109" t="s">
        <v>49</v>
      </c>
    </row>
    <row r="110" spans="1:20" x14ac:dyDescent="0.3">
      <c r="A110" t="s">
        <v>26</v>
      </c>
      <c r="B110">
        <v>26</v>
      </c>
      <c r="C110" t="s">
        <v>23</v>
      </c>
      <c r="D110">
        <v>139</v>
      </c>
      <c r="E110" s="20">
        <v>44647</v>
      </c>
      <c r="F110">
        <v>15</v>
      </c>
      <c r="G110">
        <v>7.5</v>
      </c>
      <c r="H110">
        <v>75</v>
      </c>
      <c r="I110">
        <v>3.2</v>
      </c>
      <c r="J110">
        <v>46.2</v>
      </c>
      <c r="K110">
        <v>30</v>
      </c>
      <c r="L110">
        <v>5.5</v>
      </c>
      <c r="M110" t="s">
        <v>27</v>
      </c>
      <c r="N110">
        <v>22</v>
      </c>
      <c r="O110" t="s">
        <v>21</v>
      </c>
      <c r="P110">
        <v>16.7</v>
      </c>
      <c r="Q110" t="s">
        <v>22</v>
      </c>
      <c r="R110">
        <v>10.8</v>
      </c>
      <c r="S110">
        <v>2022</v>
      </c>
      <c r="T110" t="s">
        <v>49</v>
      </c>
    </row>
    <row r="111" spans="1:20" x14ac:dyDescent="0.3">
      <c r="A111" t="s">
        <v>26</v>
      </c>
      <c r="B111">
        <v>26</v>
      </c>
      <c r="C111" t="s">
        <v>19</v>
      </c>
      <c r="D111">
        <v>37</v>
      </c>
      <c r="E111" s="20">
        <v>44658</v>
      </c>
      <c r="F111">
        <v>8</v>
      </c>
      <c r="G111">
        <v>5</v>
      </c>
      <c r="H111">
        <v>76</v>
      </c>
      <c r="I111">
        <v>3</v>
      </c>
      <c r="J111">
        <v>47</v>
      </c>
      <c r="K111">
        <v>37</v>
      </c>
      <c r="L111">
        <v>6</v>
      </c>
      <c r="M111" t="s">
        <v>27</v>
      </c>
      <c r="N111">
        <v>20</v>
      </c>
      <c r="O111" t="s">
        <v>21</v>
      </c>
      <c r="P111">
        <v>16</v>
      </c>
      <c r="Q111" t="s">
        <v>22</v>
      </c>
      <c r="R111">
        <v>12</v>
      </c>
      <c r="S111">
        <v>2022</v>
      </c>
      <c r="T111" t="s">
        <v>50</v>
      </c>
    </row>
    <row r="112" spans="1:20" x14ac:dyDescent="0.3">
      <c r="A112" t="s">
        <v>26</v>
      </c>
      <c r="B112">
        <v>26</v>
      </c>
      <c r="C112" t="s">
        <v>23</v>
      </c>
      <c r="D112">
        <v>29</v>
      </c>
      <c r="E112" s="20">
        <v>44659</v>
      </c>
      <c r="F112">
        <v>10</v>
      </c>
      <c r="G112">
        <v>7</v>
      </c>
      <c r="H112">
        <v>74</v>
      </c>
      <c r="I112">
        <v>3.2</v>
      </c>
      <c r="J112">
        <v>44</v>
      </c>
      <c r="K112">
        <v>31</v>
      </c>
      <c r="L112">
        <v>5.5</v>
      </c>
      <c r="M112" t="s">
        <v>27</v>
      </c>
      <c r="N112">
        <v>19</v>
      </c>
      <c r="O112" t="s">
        <v>21</v>
      </c>
      <c r="P112">
        <v>15</v>
      </c>
      <c r="Q112" t="s">
        <v>22</v>
      </c>
      <c r="R112">
        <v>11.5</v>
      </c>
      <c r="S112">
        <v>2022</v>
      </c>
      <c r="T112" t="s">
        <v>50</v>
      </c>
    </row>
    <row r="113" spans="1:20" x14ac:dyDescent="0.3">
      <c r="A113" t="s">
        <v>26</v>
      </c>
      <c r="B113">
        <v>26</v>
      </c>
      <c r="C113" t="s">
        <v>19</v>
      </c>
      <c r="D113">
        <v>34</v>
      </c>
      <c r="E113" s="20">
        <v>44670</v>
      </c>
      <c r="F113">
        <v>9</v>
      </c>
      <c r="G113">
        <v>5.5</v>
      </c>
      <c r="H113">
        <v>76</v>
      </c>
      <c r="I113">
        <v>3.5</v>
      </c>
      <c r="J113">
        <v>48</v>
      </c>
      <c r="K113">
        <v>33</v>
      </c>
      <c r="L113">
        <v>6.5</v>
      </c>
      <c r="M113" t="s">
        <v>27</v>
      </c>
      <c r="N113">
        <v>22</v>
      </c>
      <c r="O113" t="s">
        <v>21</v>
      </c>
      <c r="P113">
        <v>15</v>
      </c>
      <c r="Q113" t="s">
        <v>22</v>
      </c>
      <c r="R113">
        <v>12</v>
      </c>
      <c r="S113">
        <v>2022</v>
      </c>
      <c r="T113" t="s">
        <v>50</v>
      </c>
    </row>
    <row r="114" spans="1:20" x14ac:dyDescent="0.3">
      <c r="A114" t="s">
        <v>26</v>
      </c>
      <c r="B114">
        <v>26</v>
      </c>
      <c r="C114" t="s">
        <v>23</v>
      </c>
      <c r="D114">
        <v>128</v>
      </c>
      <c r="E114" s="20">
        <v>44671</v>
      </c>
      <c r="F114">
        <v>12</v>
      </c>
      <c r="G114">
        <v>6</v>
      </c>
      <c r="H114">
        <v>75</v>
      </c>
      <c r="I114">
        <v>3.1</v>
      </c>
      <c r="J114">
        <v>45</v>
      </c>
      <c r="K114">
        <v>28</v>
      </c>
      <c r="L114">
        <v>5</v>
      </c>
      <c r="M114" t="s">
        <v>27</v>
      </c>
      <c r="N114">
        <v>21</v>
      </c>
      <c r="O114" t="s">
        <v>21</v>
      </c>
      <c r="P114">
        <v>14</v>
      </c>
      <c r="Q114" t="s">
        <v>22</v>
      </c>
      <c r="R114">
        <v>11</v>
      </c>
      <c r="S114">
        <v>2022</v>
      </c>
      <c r="T114" t="s">
        <v>50</v>
      </c>
    </row>
    <row r="115" spans="1:20" x14ac:dyDescent="0.3">
      <c r="A115" t="s">
        <v>26</v>
      </c>
      <c r="B115">
        <v>26</v>
      </c>
      <c r="C115" t="s">
        <v>19</v>
      </c>
      <c r="D115">
        <v>33</v>
      </c>
      <c r="E115" s="20">
        <v>44678</v>
      </c>
      <c r="F115">
        <v>10</v>
      </c>
      <c r="G115">
        <v>6.04</v>
      </c>
      <c r="H115">
        <v>78</v>
      </c>
      <c r="I115">
        <v>3.1</v>
      </c>
      <c r="J115">
        <v>48.7</v>
      </c>
      <c r="K115">
        <v>35</v>
      </c>
      <c r="L115">
        <v>5.8</v>
      </c>
      <c r="M115" t="s">
        <v>27</v>
      </c>
      <c r="N115">
        <v>23.6</v>
      </c>
      <c r="O115" t="s">
        <v>21</v>
      </c>
      <c r="P115">
        <v>18.399999999999999</v>
      </c>
      <c r="Q115" t="s">
        <v>22</v>
      </c>
      <c r="R115">
        <v>11.6</v>
      </c>
      <c r="S115">
        <v>2022</v>
      </c>
      <c r="T115" t="s">
        <v>50</v>
      </c>
    </row>
    <row r="116" spans="1:20" x14ac:dyDescent="0.3">
      <c r="A116" t="s">
        <v>26</v>
      </c>
      <c r="B116">
        <v>26</v>
      </c>
      <c r="C116" t="s">
        <v>23</v>
      </c>
      <c r="D116">
        <v>39</v>
      </c>
      <c r="E116" s="20">
        <v>44679</v>
      </c>
      <c r="F116">
        <v>15</v>
      </c>
      <c r="G116">
        <v>7.5</v>
      </c>
      <c r="H116">
        <v>75</v>
      </c>
      <c r="I116">
        <v>3.2</v>
      </c>
      <c r="J116">
        <v>46.2</v>
      </c>
      <c r="K116">
        <v>30</v>
      </c>
      <c r="L116">
        <v>5.5</v>
      </c>
      <c r="M116" t="s">
        <v>27</v>
      </c>
      <c r="N116">
        <v>22</v>
      </c>
      <c r="O116" t="s">
        <v>21</v>
      </c>
      <c r="P116">
        <v>16.7</v>
      </c>
      <c r="Q116" t="s">
        <v>22</v>
      </c>
      <c r="R116">
        <v>10.8</v>
      </c>
      <c r="S116">
        <v>2022</v>
      </c>
      <c r="T116" t="s">
        <v>50</v>
      </c>
    </row>
    <row r="117" spans="1:20" x14ac:dyDescent="0.3">
      <c r="A117" t="s">
        <v>26</v>
      </c>
      <c r="B117">
        <v>26</v>
      </c>
      <c r="C117" t="s">
        <v>35</v>
      </c>
      <c r="D117">
        <v>20</v>
      </c>
      <c r="E117" s="20">
        <v>44680</v>
      </c>
      <c r="F117">
        <v>12</v>
      </c>
      <c r="G117">
        <v>8</v>
      </c>
      <c r="H117">
        <v>70</v>
      </c>
      <c r="I117">
        <v>3.1</v>
      </c>
      <c r="J117">
        <v>44</v>
      </c>
      <c r="K117">
        <v>65</v>
      </c>
      <c r="L117">
        <v>4</v>
      </c>
      <c r="M117" t="s">
        <v>27</v>
      </c>
      <c r="N117">
        <v>20</v>
      </c>
      <c r="O117" t="s">
        <v>21</v>
      </c>
      <c r="P117">
        <v>14</v>
      </c>
      <c r="Q117" t="s">
        <v>22</v>
      </c>
      <c r="R117">
        <v>9.5</v>
      </c>
      <c r="S117">
        <v>2022</v>
      </c>
      <c r="T117" t="s">
        <v>50</v>
      </c>
    </row>
    <row r="118" spans="1:20" x14ac:dyDescent="0.3">
      <c r="A118" t="s">
        <v>26</v>
      </c>
      <c r="B118">
        <v>26</v>
      </c>
      <c r="C118" t="s">
        <v>19</v>
      </c>
      <c r="D118">
        <v>37</v>
      </c>
      <c r="E118" s="20">
        <v>44695</v>
      </c>
      <c r="F118">
        <v>8</v>
      </c>
      <c r="G118">
        <v>5</v>
      </c>
      <c r="H118">
        <v>76</v>
      </c>
      <c r="I118">
        <v>3</v>
      </c>
      <c r="J118">
        <v>47</v>
      </c>
      <c r="K118">
        <v>37</v>
      </c>
      <c r="L118">
        <v>6</v>
      </c>
      <c r="M118" t="s">
        <v>27</v>
      </c>
      <c r="N118">
        <v>20</v>
      </c>
      <c r="O118" t="s">
        <v>21</v>
      </c>
      <c r="P118">
        <v>16</v>
      </c>
      <c r="Q118" t="s">
        <v>22</v>
      </c>
      <c r="R118">
        <v>12</v>
      </c>
      <c r="S118">
        <v>2022</v>
      </c>
      <c r="T118" t="s">
        <v>51</v>
      </c>
    </row>
    <row r="119" spans="1:20" x14ac:dyDescent="0.3">
      <c r="A119" t="s">
        <v>26</v>
      </c>
      <c r="B119">
        <v>26</v>
      </c>
      <c r="C119" t="s">
        <v>23</v>
      </c>
      <c r="D119">
        <v>29</v>
      </c>
      <c r="E119" s="20">
        <v>44696</v>
      </c>
      <c r="F119">
        <v>10</v>
      </c>
      <c r="G119">
        <v>7</v>
      </c>
      <c r="H119">
        <v>74</v>
      </c>
      <c r="I119">
        <v>3.2</v>
      </c>
      <c r="J119">
        <v>44</v>
      </c>
      <c r="K119">
        <v>31</v>
      </c>
      <c r="L119">
        <v>5.5</v>
      </c>
      <c r="M119" t="s">
        <v>27</v>
      </c>
      <c r="N119">
        <v>19</v>
      </c>
      <c r="O119" t="s">
        <v>21</v>
      </c>
      <c r="P119">
        <v>15</v>
      </c>
      <c r="Q119" t="s">
        <v>22</v>
      </c>
      <c r="R119">
        <v>11.5</v>
      </c>
      <c r="S119">
        <v>2022</v>
      </c>
      <c r="T119" t="s">
        <v>51</v>
      </c>
    </row>
    <row r="120" spans="1:20" x14ac:dyDescent="0.3">
      <c r="A120" t="s">
        <v>26</v>
      </c>
      <c r="B120">
        <v>26</v>
      </c>
      <c r="C120" t="s">
        <v>35</v>
      </c>
      <c r="D120">
        <v>5</v>
      </c>
      <c r="E120" s="20">
        <v>44697</v>
      </c>
      <c r="F120">
        <v>7</v>
      </c>
      <c r="G120">
        <v>6.5</v>
      </c>
      <c r="H120">
        <v>70</v>
      </c>
      <c r="I120">
        <v>3.1</v>
      </c>
      <c r="J120">
        <v>42</v>
      </c>
      <c r="K120">
        <v>57</v>
      </c>
      <c r="L120">
        <v>4.5</v>
      </c>
      <c r="M120" t="s">
        <v>27</v>
      </c>
      <c r="N120">
        <v>18</v>
      </c>
      <c r="O120" t="s">
        <v>21</v>
      </c>
      <c r="P120">
        <v>14</v>
      </c>
      <c r="Q120" t="s">
        <v>22</v>
      </c>
      <c r="R120">
        <v>10</v>
      </c>
      <c r="S120">
        <v>2022</v>
      </c>
      <c r="T120" t="s">
        <v>51</v>
      </c>
    </row>
    <row r="121" spans="1:20" x14ac:dyDescent="0.3">
      <c r="A121" t="s">
        <v>26</v>
      </c>
      <c r="B121">
        <v>26</v>
      </c>
      <c r="C121" t="s">
        <v>19</v>
      </c>
      <c r="D121">
        <v>35</v>
      </c>
      <c r="E121" s="20">
        <v>44725</v>
      </c>
      <c r="F121">
        <v>10</v>
      </c>
      <c r="G121">
        <v>5.5</v>
      </c>
      <c r="H121">
        <v>76</v>
      </c>
      <c r="I121">
        <v>3.5</v>
      </c>
      <c r="J121">
        <v>48</v>
      </c>
      <c r="K121">
        <v>33</v>
      </c>
      <c r="L121">
        <v>6.5</v>
      </c>
      <c r="M121" t="s">
        <v>27</v>
      </c>
      <c r="N121">
        <v>22</v>
      </c>
      <c r="O121" t="s">
        <v>21</v>
      </c>
      <c r="P121">
        <v>15</v>
      </c>
      <c r="Q121" t="s">
        <v>22</v>
      </c>
      <c r="R121">
        <v>12</v>
      </c>
      <c r="S121">
        <v>2022</v>
      </c>
      <c r="T121" t="s">
        <v>52</v>
      </c>
    </row>
    <row r="122" spans="1:20" x14ac:dyDescent="0.3">
      <c r="A122" t="s">
        <v>26</v>
      </c>
      <c r="B122">
        <v>26</v>
      </c>
      <c r="C122" t="s">
        <v>23</v>
      </c>
      <c r="D122">
        <v>29</v>
      </c>
      <c r="E122" s="20">
        <v>44726</v>
      </c>
      <c r="F122">
        <v>12</v>
      </c>
      <c r="G122">
        <v>6</v>
      </c>
      <c r="H122">
        <v>75</v>
      </c>
      <c r="I122">
        <v>3.1</v>
      </c>
      <c r="J122">
        <v>45</v>
      </c>
      <c r="K122">
        <v>28</v>
      </c>
      <c r="L122">
        <v>5</v>
      </c>
      <c r="M122" t="s">
        <v>27</v>
      </c>
      <c r="N122">
        <v>21</v>
      </c>
      <c r="O122" t="s">
        <v>21</v>
      </c>
      <c r="P122">
        <v>14</v>
      </c>
      <c r="Q122" t="s">
        <v>22</v>
      </c>
      <c r="R122">
        <v>11</v>
      </c>
      <c r="S122">
        <v>2022</v>
      </c>
      <c r="T122" t="s">
        <v>52</v>
      </c>
    </row>
    <row r="123" spans="1:20" x14ac:dyDescent="0.3">
      <c r="A123" t="s">
        <v>26</v>
      </c>
      <c r="B123">
        <v>26</v>
      </c>
      <c r="C123" t="s">
        <v>35</v>
      </c>
      <c r="D123">
        <v>114</v>
      </c>
      <c r="E123" s="20">
        <v>44727</v>
      </c>
      <c r="F123">
        <v>8</v>
      </c>
      <c r="G123">
        <v>6.5</v>
      </c>
      <c r="H123">
        <v>70</v>
      </c>
      <c r="I123">
        <v>3</v>
      </c>
      <c r="J123">
        <v>42</v>
      </c>
      <c r="K123">
        <v>69</v>
      </c>
      <c r="L123">
        <v>4.5</v>
      </c>
      <c r="M123" t="s">
        <v>27</v>
      </c>
      <c r="N123">
        <v>20</v>
      </c>
      <c r="O123" t="s">
        <v>21</v>
      </c>
      <c r="P123">
        <v>12</v>
      </c>
      <c r="Q123" t="s">
        <v>22</v>
      </c>
      <c r="R123">
        <v>10</v>
      </c>
      <c r="S123">
        <v>2022</v>
      </c>
      <c r="T123" t="s">
        <v>52</v>
      </c>
    </row>
    <row r="124" spans="1:20" x14ac:dyDescent="0.3">
      <c r="A124" t="s">
        <v>26</v>
      </c>
      <c r="B124">
        <v>26</v>
      </c>
      <c r="C124" t="s">
        <v>19</v>
      </c>
      <c r="D124">
        <v>53</v>
      </c>
      <c r="E124" s="20">
        <v>44730</v>
      </c>
      <c r="F124">
        <v>8</v>
      </c>
      <c r="G124">
        <v>6.04</v>
      </c>
      <c r="H124">
        <v>78</v>
      </c>
      <c r="I124">
        <v>3.2</v>
      </c>
      <c r="J124">
        <v>48.7</v>
      </c>
      <c r="K124">
        <v>39</v>
      </c>
      <c r="L124">
        <v>5.8</v>
      </c>
      <c r="M124" t="s">
        <v>27</v>
      </c>
      <c r="N124">
        <v>23.6</v>
      </c>
      <c r="O124" t="s">
        <v>21</v>
      </c>
      <c r="P124">
        <v>18.399999999999999</v>
      </c>
      <c r="Q124" t="s">
        <v>22</v>
      </c>
      <c r="R124">
        <v>11.6</v>
      </c>
      <c r="S124">
        <v>2022</v>
      </c>
      <c r="T124" t="s">
        <v>52</v>
      </c>
    </row>
    <row r="125" spans="1:20" x14ac:dyDescent="0.3">
      <c r="A125" t="s">
        <v>26</v>
      </c>
      <c r="B125">
        <v>26</v>
      </c>
      <c r="C125" t="s">
        <v>23</v>
      </c>
      <c r="D125">
        <v>269</v>
      </c>
      <c r="E125" s="20">
        <v>44735</v>
      </c>
      <c r="F125">
        <v>10</v>
      </c>
      <c r="G125">
        <v>5.5</v>
      </c>
      <c r="H125">
        <v>76</v>
      </c>
      <c r="I125">
        <v>3.5</v>
      </c>
      <c r="J125">
        <v>48</v>
      </c>
      <c r="K125">
        <v>33</v>
      </c>
      <c r="L125">
        <v>6.5</v>
      </c>
      <c r="M125" t="s">
        <v>27</v>
      </c>
      <c r="N125">
        <v>22</v>
      </c>
      <c r="O125" t="s">
        <v>21</v>
      </c>
      <c r="P125">
        <v>15</v>
      </c>
      <c r="Q125" t="s">
        <v>22</v>
      </c>
      <c r="R125">
        <v>12</v>
      </c>
      <c r="S125">
        <v>2022</v>
      </c>
      <c r="T125" t="s">
        <v>52</v>
      </c>
    </row>
    <row r="126" spans="1:20" x14ac:dyDescent="0.3">
      <c r="A126" t="s">
        <v>26</v>
      </c>
      <c r="B126">
        <v>26</v>
      </c>
      <c r="C126" t="s">
        <v>23</v>
      </c>
      <c r="D126">
        <v>28</v>
      </c>
      <c r="E126" s="20">
        <v>44746</v>
      </c>
      <c r="F126">
        <v>12</v>
      </c>
      <c r="G126">
        <v>6</v>
      </c>
      <c r="H126">
        <v>75</v>
      </c>
      <c r="I126">
        <v>3.1</v>
      </c>
      <c r="J126">
        <v>45</v>
      </c>
      <c r="K126">
        <v>28</v>
      </c>
      <c r="L126">
        <v>5</v>
      </c>
      <c r="M126" t="s">
        <v>27</v>
      </c>
      <c r="N126">
        <v>21</v>
      </c>
      <c r="O126" t="s">
        <v>21</v>
      </c>
      <c r="P126">
        <v>14</v>
      </c>
      <c r="Q126" t="s">
        <v>22</v>
      </c>
      <c r="R126">
        <v>11</v>
      </c>
      <c r="S126">
        <v>2022</v>
      </c>
      <c r="T126" t="s">
        <v>53</v>
      </c>
    </row>
    <row r="127" spans="1:20" x14ac:dyDescent="0.3">
      <c r="A127" t="s">
        <v>26</v>
      </c>
      <c r="B127">
        <v>26</v>
      </c>
      <c r="C127" t="s">
        <v>35</v>
      </c>
      <c r="D127">
        <v>8</v>
      </c>
      <c r="E127" s="20">
        <v>44747</v>
      </c>
      <c r="F127">
        <v>8</v>
      </c>
      <c r="G127">
        <v>6.5</v>
      </c>
      <c r="H127">
        <v>70</v>
      </c>
      <c r="I127">
        <v>3</v>
      </c>
      <c r="J127">
        <v>42</v>
      </c>
      <c r="K127">
        <v>69</v>
      </c>
      <c r="L127">
        <v>4.5</v>
      </c>
      <c r="M127" t="s">
        <v>27</v>
      </c>
      <c r="N127">
        <v>20</v>
      </c>
      <c r="O127" t="s">
        <v>21</v>
      </c>
      <c r="P127">
        <v>12</v>
      </c>
      <c r="Q127" t="s">
        <v>25</v>
      </c>
      <c r="R127">
        <v>23</v>
      </c>
      <c r="S127">
        <v>2022</v>
      </c>
      <c r="T127" t="s">
        <v>53</v>
      </c>
    </row>
    <row r="128" spans="1:20" x14ac:dyDescent="0.3">
      <c r="A128" t="s">
        <v>26</v>
      </c>
      <c r="B128">
        <v>26</v>
      </c>
      <c r="C128" t="s">
        <v>19</v>
      </c>
      <c r="D128">
        <v>35</v>
      </c>
      <c r="E128" s="20">
        <v>44754</v>
      </c>
      <c r="F128">
        <v>10</v>
      </c>
      <c r="G128">
        <v>5.5</v>
      </c>
      <c r="H128">
        <v>76</v>
      </c>
      <c r="I128">
        <v>3.5</v>
      </c>
      <c r="J128">
        <v>48</v>
      </c>
      <c r="K128">
        <v>33</v>
      </c>
      <c r="L128">
        <v>6.5</v>
      </c>
      <c r="M128" t="s">
        <v>27</v>
      </c>
      <c r="N128">
        <v>22</v>
      </c>
      <c r="O128" t="s">
        <v>21</v>
      </c>
      <c r="P128">
        <v>15</v>
      </c>
      <c r="Q128" t="s">
        <v>22</v>
      </c>
      <c r="R128">
        <v>12</v>
      </c>
      <c r="S128">
        <v>2022</v>
      </c>
      <c r="T128" t="s">
        <v>53</v>
      </c>
    </row>
    <row r="129" spans="1:20" x14ac:dyDescent="0.3">
      <c r="A129" t="s">
        <v>26</v>
      </c>
      <c r="B129">
        <v>26</v>
      </c>
      <c r="C129" t="s">
        <v>23</v>
      </c>
      <c r="D129">
        <v>32</v>
      </c>
      <c r="E129" s="20">
        <v>44755</v>
      </c>
      <c r="F129">
        <v>12</v>
      </c>
      <c r="G129">
        <v>6</v>
      </c>
      <c r="H129">
        <v>75</v>
      </c>
      <c r="I129">
        <v>3.1</v>
      </c>
      <c r="J129">
        <v>45</v>
      </c>
      <c r="K129">
        <v>28</v>
      </c>
      <c r="L129">
        <v>6</v>
      </c>
      <c r="M129" t="s">
        <v>27</v>
      </c>
      <c r="N129">
        <v>21</v>
      </c>
      <c r="O129" t="s">
        <v>21</v>
      </c>
      <c r="P129">
        <v>14</v>
      </c>
      <c r="Q129" t="s">
        <v>22</v>
      </c>
      <c r="R129">
        <v>11</v>
      </c>
      <c r="S129">
        <v>2022</v>
      </c>
      <c r="T129" t="s">
        <v>53</v>
      </c>
    </row>
    <row r="130" spans="1:20" x14ac:dyDescent="0.3">
      <c r="A130" t="s">
        <v>26</v>
      </c>
      <c r="B130">
        <v>26</v>
      </c>
      <c r="C130" t="s">
        <v>35</v>
      </c>
      <c r="D130">
        <v>120</v>
      </c>
      <c r="E130" s="20">
        <v>44756</v>
      </c>
      <c r="F130">
        <v>8</v>
      </c>
      <c r="G130">
        <v>6.5</v>
      </c>
      <c r="H130">
        <v>70</v>
      </c>
      <c r="I130">
        <v>3</v>
      </c>
      <c r="J130">
        <v>42</v>
      </c>
      <c r="K130">
        <v>69</v>
      </c>
      <c r="L130">
        <v>5.5</v>
      </c>
      <c r="M130" t="s">
        <v>27</v>
      </c>
      <c r="N130">
        <v>20</v>
      </c>
      <c r="O130" t="s">
        <v>21</v>
      </c>
      <c r="P130">
        <v>12</v>
      </c>
      <c r="Q130" t="s">
        <v>22</v>
      </c>
      <c r="R130">
        <v>10</v>
      </c>
      <c r="S130">
        <v>2022</v>
      </c>
      <c r="T130" t="s">
        <v>53</v>
      </c>
    </row>
    <row r="131" spans="1:20" x14ac:dyDescent="0.3">
      <c r="A131" t="s">
        <v>26</v>
      </c>
      <c r="B131">
        <v>26</v>
      </c>
      <c r="C131" t="s">
        <v>35</v>
      </c>
      <c r="D131">
        <v>88</v>
      </c>
      <c r="E131" s="20">
        <v>44764</v>
      </c>
      <c r="F131">
        <v>8</v>
      </c>
      <c r="G131">
        <v>6.5</v>
      </c>
      <c r="H131">
        <v>70</v>
      </c>
      <c r="I131">
        <v>3</v>
      </c>
      <c r="J131">
        <v>42</v>
      </c>
      <c r="K131">
        <v>69</v>
      </c>
      <c r="L131">
        <v>5.5</v>
      </c>
      <c r="M131" t="s">
        <v>27</v>
      </c>
      <c r="N131">
        <v>20</v>
      </c>
      <c r="O131" t="s">
        <v>21</v>
      </c>
      <c r="P131">
        <v>12</v>
      </c>
      <c r="Q131" t="s">
        <v>22</v>
      </c>
      <c r="R131">
        <v>10</v>
      </c>
      <c r="S131">
        <v>2022</v>
      </c>
      <c r="T131" t="s">
        <v>53</v>
      </c>
    </row>
    <row r="132" spans="1:20" x14ac:dyDescent="0.3">
      <c r="A132" t="s">
        <v>30</v>
      </c>
      <c r="B132">
        <v>14</v>
      </c>
      <c r="C132" t="s">
        <v>19</v>
      </c>
      <c r="D132">
        <v>114</v>
      </c>
      <c r="E132" s="20">
        <v>44578</v>
      </c>
      <c r="F132">
        <v>17</v>
      </c>
      <c r="G132">
        <v>70.63</v>
      </c>
      <c r="H132">
        <v>41</v>
      </c>
      <c r="I132">
        <v>3.9</v>
      </c>
      <c r="J132">
        <v>59.4</v>
      </c>
      <c r="K132">
        <v>95</v>
      </c>
      <c r="L132">
        <v>15.6</v>
      </c>
      <c r="M132" t="s">
        <v>27</v>
      </c>
      <c r="N132">
        <v>23.7</v>
      </c>
      <c r="O132" t="s">
        <v>31</v>
      </c>
      <c r="P132">
        <v>15.6</v>
      </c>
      <c r="Q132" t="s">
        <v>25</v>
      </c>
      <c r="R132">
        <v>15.1</v>
      </c>
      <c r="S132">
        <v>2022</v>
      </c>
      <c r="T132" t="s">
        <v>47</v>
      </c>
    </row>
    <row r="133" spans="1:20" x14ac:dyDescent="0.3">
      <c r="A133" t="s">
        <v>30</v>
      </c>
      <c r="B133">
        <v>14</v>
      </c>
      <c r="C133" t="s">
        <v>23</v>
      </c>
      <c r="D133">
        <v>11</v>
      </c>
      <c r="E133" s="20">
        <v>44579</v>
      </c>
      <c r="F133">
        <v>8</v>
      </c>
      <c r="G133">
        <v>65</v>
      </c>
      <c r="H133">
        <v>25</v>
      </c>
      <c r="I133">
        <v>3.6</v>
      </c>
      <c r="J133">
        <v>55</v>
      </c>
      <c r="K133">
        <v>65</v>
      </c>
      <c r="L133">
        <v>14</v>
      </c>
      <c r="M133" t="s">
        <v>27</v>
      </c>
      <c r="N133">
        <v>21.5</v>
      </c>
      <c r="O133" t="s">
        <v>31</v>
      </c>
      <c r="P133">
        <v>13.9</v>
      </c>
      <c r="Q133" t="s">
        <v>25</v>
      </c>
      <c r="R133">
        <v>14.2</v>
      </c>
      <c r="S133">
        <v>2022</v>
      </c>
      <c r="T133" t="s">
        <v>47</v>
      </c>
    </row>
    <row r="134" spans="1:20" x14ac:dyDescent="0.3">
      <c r="A134" t="s">
        <v>30</v>
      </c>
      <c r="B134">
        <v>14</v>
      </c>
      <c r="C134" t="s">
        <v>19</v>
      </c>
      <c r="D134">
        <v>12</v>
      </c>
      <c r="E134" s="20">
        <v>44590</v>
      </c>
      <c r="F134">
        <v>15</v>
      </c>
      <c r="G134">
        <v>70.63</v>
      </c>
      <c r="H134">
        <v>41</v>
      </c>
      <c r="I134">
        <v>3.9</v>
      </c>
      <c r="J134">
        <v>59.4</v>
      </c>
      <c r="K134">
        <v>90</v>
      </c>
      <c r="L134">
        <v>15.6</v>
      </c>
      <c r="M134" t="s">
        <v>27</v>
      </c>
      <c r="N134">
        <v>23.7</v>
      </c>
      <c r="O134" t="s">
        <v>31</v>
      </c>
      <c r="P134">
        <v>15.6</v>
      </c>
      <c r="Q134" t="s">
        <v>25</v>
      </c>
      <c r="R134">
        <v>15.1</v>
      </c>
      <c r="S134">
        <v>2022</v>
      </c>
      <c r="T134" t="s">
        <v>47</v>
      </c>
    </row>
    <row r="135" spans="1:20" x14ac:dyDescent="0.3">
      <c r="A135" t="s">
        <v>30</v>
      </c>
      <c r="B135">
        <v>14</v>
      </c>
      <c r="C135" t="s">
        <v>23</v>
      </c>
      <c r="D135">
        <v>39</v>
      </c>
      <c r="E135" s="20">
        <v>44591</v>
      </c>
      <c r="F135">
        <v>9</v>
      </c>
      <c r="G135">
        <v>65</v>
      </c>
      <c r="H135">
        <v>25</v>
      </c>
      <c r="I135">
        <v>3.5</v>
      </c>
      <c r="J135">
        <v>55</v>
      </c>
      <c r="K135">
        <v>64</v>
      </c>
      <c r="L135">
        <v>14</v>
      </c>
      <c r="M135" t="s">
        <v>27</v>
      </c>
      <c r="N135">
        <v>21.5</v>
      </c>
      <c r="O135" t="s">
        <v>31</v>
      </c>
      <c r="P135">
        <v>13.9</v>
      </c>
      <c r="Q135" t="s">
        <v>25</v>
      </c>
      <c r="R135">
        <v>14.2</v>
      </c>
      <c r="S135">
        <v>2022</v>
      </c>
      <c r="T135" t="s">
        <v>47</v>
      </c>
    </row>
    <row r="136" spans="1:20" x14ac:dyDescent="0.3">
      <c r="A136" t="s">
        <v>30</v>
      </c>
      <c r="B136">
        <v>14</v>
      </c>
      <c r="C136" t="s">
        <v>19</v>
      </c>
      <c r="D136">
        <v>50</v>
      </c>
      <c r="E136" s="20">
        <v>44602</v>
      </c>
      <c r="F136">
        <v>14</v>
      </c>
      <c r="G136">
        <v>70.63</v>
      </c>
      <c r="H136">
        <v>41</v>
      </c>
      <c r="I136">
        <v>3.9</v>
      </c>
      <c r="J136">
        <v>59.4</v>
      </c>
      <c r="K136">
        <v>89</v>
      </c>
      <c r="L136">
        <v>15.6</v>
      </c>
      <c r="M136" t="s">
        <v>27</v>
      </c>
      <c r="N136">
        <v>23.7</v>
      </c>
      <c r="O136" t="s">
        <v>31</v>
      </c>
      <c r="P136">
        <v>15.6</v>
      </c>
      <c r="Q136" t="s">
        <v>25</v>
      </c>
      <c r="R136">
        <v>15.1</v>
      </c>
      <c r="S136">
        <v>2022</v>
      </c>
      <c r="T136" t="s">
        <v>48</v>
      </c>
    </row>
    <row r="137" spans="1:20" x14ac:dyDescent="0.3">
      <c r="A137" t="s">
        <v>30</v>
      </c>
      <c r="B137">
        <v>14</v>
      </c>
      <c r="C137" t="s">
        <v>23</v>
      </c>
      <c r="D137">
        <v>80</v>
      </c>
      <c r="E137" s="20">
        <v>44603</v>
      </c>
      <c r="F137">
        <v>10</v>
      </c>
      <c r="G137">
        <v>65</v>
      </c>
      <c r="H137">
        <v>25</v>
      </c>
      <c r="I137">
        <v>3.5</v>
      </c>
      <c r="J137">
        <v>55</v>
      </c>
      <c r="K137">
        <v>65</v>
      </c>
      <c r="L137">
        <v>14</v>
      </c>
      <c r="M137" t="s">
        <v>27</v>
      </c>
      <c r="N137">
        <v>21.5</v>
      </c>
      <c r="O137" t="s">
        <v>31</v>
      </c>
      <c r="P137">
        <v>13.9</v>
      </c>
      <c r="Q137" t="s">
        <v>25</v>
      </c>
      <c r="R137">
        <v>14.2</v>
      </c>
      <c r="S137">
        <v>2022</v>
      </c>
      <c r="T137" t="s">
        <v>48</v>
      </c>
    </row>
    <row r="138" spans="1:20" x14ac:dyDescent="0.3">
      <c r="A138" t="s">
        <v>30</v>
      </c>
      <c r="B138">
        <v>14</v>
      </c>
      <c r="C138" t="s">
        <v>19</v>
      </c>
      <c r="D138">
        <v>100</v>
      </c>
      <c r="E138" s="20">
        <v>44614</v>
      </c>
      <c r="F138">
        <v>14</v>
      </c>
      <c r="G138">
        <v>70.63</v>
      </c>
      <c r="H138">
        <v>41</v>
      </c>
      <c r="I138">
        <v>3.9</v>
      </c>
      <c r="J138">
        <v>59.4</v>
      </c>
      <c r="K138">
        <v>89</v>
      </c>
      <c r="L138">
        <v>15.6</v>
      </c>
      <c r="M138" t="s">
        <v>27</v>
      </c>
      <c r="N138">
        <v>23.7</v>
      </c>
      <c r="O138" t="s">
        <v>31</v>
      </c>
      <c r="P138">
        <v>15.6</v>
      </c>
      <c r="Q138" t="s">
        <v>25</v>
      </c>
      <c r="R138">
        <v>15.1</v>
      </c>
      <c r="S138">
        <v>2022</v>
      </c>
      <c r="T138" t="s">
        <v>48</v>
      </c>
    </row>
    <row r="139" spans="1:20" x14ac:dyDescent="0.3">
      <c r="A139" t="s">
        <v>30</v>
      </c>
      <c r="B139">
        <v>14</v>
      </c>
      <c r="C139" t="s">
        <v>23</v>
      </c>
      <c r="D139">
        <v>8</v>
      </c>
      <c r="E139" s="20">
        <v>44615</v>
      </c>
      <c r="F139">
        <v>10</v>
      </c>
      <c r="G139">
        <v>65</v>
      </c>
      <c r="H139">
        <v>25</v>
      </c>
      <c r="I139">
        <v>3.5</v>
      </c>
      <c r="J139">
        <v>55</v>
      </c>
      <c r="K139">
        <v>65</v>
      </c>
      <c r="L139">
        <v>14</v>
      </c>
      <c r="M139" t="s">
        <v>27</v>
      </c>
      <c r="N139">
        <v>21.5</v>
      </c>
      <c r="O139" t="s">
        <v>31</v>
      </c>
      <c r="P139">
        <v>13.9</v>
      </c>
      <c r="Q139" t="s">
        <v>25</v>
      </c>
      <c r="R139">
        <v>14.2</v>
      </c>
      <c r="S139">
        <v>2022</v>
      </c>
      <c r="T139" t="s">
        <v>48</v>
      </c>
    </row>
    <row r="140" spans="1:20" x14ac:dyDescent="0.3">
      <c r="A140" t="s">
        <v>30</v>
      </c>
      <c r="B140">
        <v>14</v>
      </c>
      <c r="C140" t="s">
        <v>19</v>
      </c>
      <c r="D140">
        <v>10</v>
      </c>
      <c r="E140" s="20">
        <v>44626</v>
      </c>
      <c r="F140">
        <v>14</v>
      </c>
      <c r="G140">
        <v>70.63</v>
      </c>
      <c r="H140">
        <v>41</v>
      </c>
      <c r="I140">
        <v>3.9</v>
      </c>
      <c r="J140">
        <v>59.4</v>
      </c>
      <c r="K140">
        <v>89</v>
      </c>
      <c r="L140">
        <v>15.6</v>
      </c>
      <c r="M140" t="s">
        <v>27</v>
      </c>
      <c r="N140">
        <v>23.7</v>
      </c>
      <c r="O140" t="s">
        <v>31</v>
      </c>
      <c r="P140">
        <v>15.6</v>
      </c>
      <c r="Q140" t="s">
        <v>25</v>
      </c>
      <c r="R140">
        <v>15.1</v>
      </c>
      <c r="S140">
        <v>2022</v>
      </c>
      <c r="T140" t="s">
        <v>49</v>
      </c>
    </row>
    <row r="141" spans="1:20" x14ac:dyDescent="0.3">
      <c r="A141" t="s">
        <v>30</v>
      </c>
      <c r="B141">
        <v>14</v>
      </c>
      <c r="C141" t="s">
        <v>23</v>
      </c>
      <c r="D141">
        <v>80</v>
      </c>
      <c r="E141" s="20">
        <v>44627</v>
      </c>
      <c r="F141">
        <v>10</v>
      </c>
      <c r="G141">
        <v>65</v>
      </c>
      <c r="H141">
        <v>25</v>
      </c>
      <c r="I141">
        <v>3.5</v>
      </c>
      <c r="J141">
        <v>55</v>
      </c>
      <c r="K141">
        <v>65</v>
      </c>
      <c r="L141">
        <v>14</v>
      </c>
      <c r="M141" t="s">
        <v>27</v>
      </c>
      <c r="N141">
        <v>21.5</v>
      </c>
      <c r="O141" t="s">
        <v>31</v>
      </c>
      <c r="P141">
        <v>13.9</v>
      </c>
      <c r="Q141" t="s">
        <v>25</v>
      </c>
      <c r="R141">
        <v>14.2</v>
      </c>
      <c r="S141">
        <v>2022</v>
      </c>
      <c r="T141" t="s">
        <v>49</v>
      </c>
    </row>
    <row r="142" spans="1:20" x14ac:dyDescent="0.3">
      <c r="A142" t="s">
        <v>30</v>
      </c>
      <c r="B142">
        <v>14</v>
      </c>
      <c r="C142" t="s">
        <v>19</v>
      </c>
      <c r="D142">
        <v>6</v>
      </c>
      <c r="E142" s="20">
        <v>44638</v>
      </c>
      <c r="F142">
        <v>18</v>
      </c>
      <c r="G142">
        <v>70.63</v>
      </c>
      <c r="H142">
        <v>41</v>
      </c>
      <c r="I142">
        <v>4.0999999999999996</v>
      </c>
      <c r="J142">
        <v>59.4</v>
      </c>
      <c r="K142">
        <v>95</v>
      </c>
      <c r="L142">
        <v>15.6</v>
      </c>
      <c r="M142" t="s">
        <v>27</v>
      </c>
      <c r="N142">
        <v>23.7</v>
      </c>
      <c r="O142" t="s">
        <v>31</v>
      </c>
      <c r="P142">
        <v>15.6</v>
      </c>
      <c r="Q142" t="s">
        <v>25</v>
      </c>
      <c r="R142">
        <v>15.1</v>
      </c>
      <c r="S142">
        <v>2022</v>
      </c>
      <c r="T142" t="s">
        <v>49</v>
      </c>
    </row>
    <row r="143" spans="1:20" x14ac:dyDescent="0.3">
      <c r="A143" t="s">
        <v>30</v>
      </c>
      <c r="B143">
        <v>14</v>
      </c>
      <c r="C143" t="s">
        <v>23</v>
      </c>
      <c r="D143">
        <v>13</v>
      </c>
      <c r="E143" s="20">
        <v>44639</v>
      </c>
      <c r="F143">
        <v>9</v>
      </c>
      <c r="G143">
        <v>65</v>
      </c>
      <c r="H143">
        <v>25</v>
      </c>
      <c r="I143">
        <v>3.4</v>
      </c>
      <c r="J143">
        <v>55</v>
      </c>
      <c r="K143">
        <v>64</v>
      </c>
      <c r="L143">
        <v>14</v>
      </c>
      <c r="M143" t="s">
        <v>27</v>
      </c>
      <c r="N143">
        <v>21.5</v>
      </c>
      <c r="O143" t="s">
        <v>31</v>
      </c>
      <c r="P143">
        <v>13.9</v>
      </c>
      <c r="Q143" t="s">
        <v>25</v>
      </c>
      <c r="R143">
        <v>14.2</v>
      </c>
      <c r="S143">
        <v>2022</v>
      </c>
      <c r="T143" t="s">
        <v>49</v>
      </c>
    </row>
    <row r="144" spans="1:20" x14ac:dyDescent="0.3">
      <c r="A144" t="s">
        <v>30</v>
      </c>
      <c r="B144">
        <v>14</v>
      </c>
      <c r="C144" t="s">
        <v>19</v>
      </c>
      <c r="D144">
        <v>6</v>
      </c>
      <c r="E144" s="20">
        <v>44650</v>
      </c>
      <c r="F144">
        <v>18</v>
      </c>
      <c r="G144">
        <v>70.63</v>
      </c>
      <c r="H144">
        <v>41</v>
      </c>
      <c r="I144">
        <v>4.0999999999999996</v>
      </c>
      <c r="J144">
        <v>59.4</v>
      </c>
      <c r="K144">
        <v>95</v>
      </c>
      <c r="L144">
        <v>15.6</v>
      </c>
      <c r="M144" t="s">
        <v>27</v>
      </c>
      <c r="N144">
        <v>23.7</v>
      </c>
      <c r="O144" t="s">
        <v>31</v>
      </c>
      <c r="P144">
        <v>15.6</v>
      </c>
      <c r="Q144" t="s">
        <v>25</v>
      </c>
      <c r="R144">
        <v>15.1</v>
      </c>
      <c r="S144">
        <v>2022</v>
      </c>
      <c r="T144" t="s">
        <v>49</v>
      </c>
    </row>
    <row r="145" spans="1:20" x14ac:dyDescent="0.3">
      <c r="A145" t="s">
        <v>30</v>
      </c>
      <c r="B145">
        <v>14</v>
      </c>
      <c r="C145" t="s">
        <v>23</v>
      </c>
      <c r="D145">
        <v>3</v>
      </c>
      <c r="E145" s="20">
        <v>44651</v>
      </c>
      <c r="F145">
        <v>9</v>
      </c>
      <c r="G145">
        <v>65</v>
      </c>
      <c r="H145">
        <v>25</v>
      </c>
      <c r="I145">
        <v>3.4</v>
      </c>
      <c r="J145">
        <v>55</v>
      </c>
      <c r="K145">
        <v>64</v>
      </c>
      <c r="L145">
        <v>14</v>
      </c>
      <c r="M145" t="s">
        <v>27</v>
      </c>
      <c r="N145">
        <v>21.5</v>
      </c>
      <c r="O145" t="s">
        <v>31</v>
      </c>
      <c r="P145">
        <v>13.9</v>
      </c>
      <c r="Q145" t="s">
        <v>25</v>
      </c>
      <c r="R145">
        <v>14.2</v>
      </c>
      <c r="S145">
        <v>2022</v>
      </c>
      <c r="T145" t="s">
        <v>49</v>
      </c>
    </row>
    <row r="146" spans="1:20" x14ac:dyDescent="0.3">
      <c r="A146" t="s">
        <v>30</v>
      </c>
      <c r="B146">
        <v>14</v>
      </c>
      <c r="C146" t="s">
        <v>19</v>
      </c>
      <c r="D146">
        <v>8</v>
      </c>
      <c r="E146" s="20">
        <v>44662</v>
      </c>
      <c r="F146">
        <v>17</v>
      </c>
      <c r="G146">
        <v>72</v>
      </c>
      <c r="H146">
        <v>42</v>
      </c>
      <c r="I146">
        <v>4.2</v>
      </c>
      <c r="J146">
        <v>0</v>
      </c>
      <c r="K146">
        <v>96</v>
      </c>
      <c r="L146">
        <v>14.5</v>
      </c>
      <c r="M146" t="s">
        <v>27</v>
      </c>
      <c r="N146">
        <v>21</v>
      </c>
      <c r="O146" t="s">
        <v>31</v>
      </c>
      <c r="P146">
        <v>16</v>
      </c>
      <c r="Q146" t="s">
        <v>25</v>
      </c>
      <c r="R146">
        <v>15.5</v>
      </c>
      <c r="S146">
        <v>2022</v>
      </c>
      <c r="T146" t="s">
        <v>50</v>
      </c>
    </row>
    <row r="147" spans="1:20" x14ac:dyDescent="0.3">
      <c r="A147" t="s">
        <v>30</v>
      </c>
      <c r="B147">
        <v>14</v>
      </c>
      <c r="C147" t="s">
        <v>23</v>
      </c>
      <c r="D147">
        <v>115</v>
      </c>
      <c r="E147" s="20">
        <v>44663</v>
      </c>
      <c r="F147">
        <v>8</v>
      </c>
      <c r="G147">
        <v>67</v>
      </c>
      <c r="H147">
        <v>27</v>
      </c>
      <c r="I147">
        <v>3.7</v>
      </c>
      <c r="J147">
        <v>56</v>
      </c>
      <c r="K147">
        <v>62</v>
      </c>
      <c r="L147">
        <v>12.5</v>
      </c>
      <c r="M147" t="s">
        <v>27</v>
      </c>
      <c r="N147">
        <v>20.5</v>
      </c>
      <c r="O147" t="s">
        <v>31</v>
      </c>
      <c r="P147">
        <v>14</v>
      </c>
      <c r="Q147" t="s">
        <v>25</v>
      </c>
      <c r="R147">
        <v>13.5</v>
      </c>
      <c r="S147">
        <v>2022</v>
      </c>
      <c r="T147" t="s">
        <v>50</v>
      </c>
    </row>
    <row r="148" spans="1:20" x14ac:dyDescent="0.3">
      <c r="A148" t="s">
        <v>30</v>
      </c>
      <c r="B148">
        <v>14</v>
      </c>
      <c r="C148" t="s">
        <v>19</v>
      </c>
      <c r="D148">
        <v>6</v>
      </c>
      <c r="E148" s="20">
        <v>44684</v>
      </c>
      <c r="F148">
        <v>18</v>
      </c>
      <c r="G148">
        <v>70.63</v>
      </c>
      <c r="H148">
        <v>41</v>
      </c>
      <c r="I148">
        <v>4.0999999999999996</v>
      </c>
      <c r="J148">
        <v>59.4</v>
      </c>
      <c r="K148">
        <v>95</v>
      </c>
      <c r="L148">
        <v>15.6</v>
      </c>
      <c r="M148" t="s">
        <v>27</v>
      </c>
      <c r="N148">
        <v>23.7</v>
      </c>
      <c r="O148" t="s">
        <v>31</v>
      </c>
      <c r="P148">
        <v>15.6</v>
      </c>
      <c r="Q148" t="s">
        <v>25</v>
      </c>
      <c r="R148">
        <v>15.1</v>
      </c>
      <c r="S148">
        <v>2022</v>
      </c>
      <c r="T148" t="s">
        <v>51</v>
      </c>
    </row>
    <row r="149" spans="1:20" x14ac:dyDescent="0.3">
      <c r="A149" t="s">
        <v>30</v>
      </c>
      <c r="B149">
        <v>14</v>
      </c>
      <c r="C149" t="s">
        <v>23</v>
      </c>
      <c r="D149">
        <v>113</v>
      </c>
      <c r="E149" s="20">
        <v>44685</v>
      </c>
      <c r="F149">
        <v>9</v>
      </c>
      <c r="G149">
        <v>65</v>
      </c>
      <c r="H149">
        <v>25</v>
      </c>
      <c r="I149">
        <v>3.4</v>
      </c>
      <c r="J149">
        <v>55</v>
      </c>
      <c r="K149">
        <v>64</v>
      </c>
      <c r="L149">
        <v>14</v>
      </c>
      <c r="M149" t="s">
        <v>27</v>
      </c>
      <c r="N149">
        <v>21.5</v>
      </c>
      <c r="O149" t="s">
        <v>31</v>
      </c>
      <c r="P149">
        <v>13.9</v>
      </c>
      <c r="Q149" t="s">
        <v>25</v>
      </c>
      <c r="R149">
        <v>14.2</v>
      </c>
      <c r="S149">
        <v>2022</v>
      </c>
      <c r="T149" t="s">
        <v>51</v>
      </c>
    </row>
    <row r="150" spans="1:20" x14ac:dyDescent="0.3">
      <c r="A150" t="s">
        <v>30</v>
      </c>
      <c r="B150">
        <v>14</v>
      </c>
      <c r="C150" t="s">
        <v>35</v>
      </c>
      <c r="D150">
        <v>0</v>
      </c>
      <c r="E150" s="20">
        <v>44686</v>
      </c>
      <c r="F150">
        <v>7</v>
      </c>
      <c r="G150">
        <v>64</v>
      </c>
      <c r="H150">
        <v>26</v>
      </c>
      <c r="I150">
        <v>3.5</v>
      </c>
      <c r="J150">
        <v>53</v>
      </c>
      <c r="K150">
        <v>54</v>
      </c>
      <c r="L150">
        <v>12</v>
      </c>
      <c r="M150" t="s">
        <v>27</v>
      </c>
      <c r="N150">
        <v>20</v>
      </c>
      <c r="O150" t="s">
        <v>31</v>
      </c>
      <c r="P150">
        <v>12.5</v>
      </c>
      <c r="Q150" t="s">
        <v>25</v>
      </c>
      <c r="R150">
        <v>12</v>
      </c>
      <c r="S150">
        <v>2022</v>
      </c>
      <c r="T150" t="s">
        <v>51</v>
      </c>
    </row>
    <row r="151" spans="1:20" x14ac:dyDescent="0.3">
      <c r="A151" t="s">
        <v>30</v>
      </c>
      <c r="B151">
        <v>14</v>
      </c>
      <c r="C151" t="s">
        <v>19</v>
      </c>
      <c r="D151">
        <v>18</v>
      </c>
      <c r="E151" s="20">
        <v>44701</v>
      </c>
      <c r="F151">
        <v>17</v>
      </c>
      <c r="G151">
        <v>72</v>
      </c>
      <c r="H151">
        <v>42</v>
      </c>
      <c r="I151">
        <v>4.2</v>
      </c>
      <c r="J151">
        <v>60</v>
      </c>
      <c r="K151">
        <v>96</v>
      </c>
      <c r="L151">
        <v>14.5</v>
      </c>
      <c r="M151" t="s">
        <v>27</v>
      </c>
      <c r="N151">
        <v>21</v>
      </c>
      <c r="O151" t="s">
        <v>31</v>
      </c>
      <c r="P151">
        <v>16</v>
      </c>
      <c r="Q151" t="s">
        <v>25</v>
      </c>
      <c r="R151">
        <v>15.5</v>
      </c>
      <c r="S151">
        <v>2022</v>
      </c>
      <c r="T151" t="s">
        <v>51</v>
      </c>
    </row>
    <row r="152" spans="1:20" x14ac:dyDescent="0.3">
      <c r="A152" t="s">
        <v>30</v>
      </c>
      <c r="B152">
        <v>14</v>
      </c>
      <c r="C152" t="s">
        <v>23</v>
      </c>
      <c r="D152">
        <v>15</v>
      </c>
      <c r="E152" s="20">
        <v>44702</v>
      </c>
      <c r="F152">
        <v>8</v>
      </c>
      <c r="G152">
        <v>67</v>
      </c>
      <c r="H152">
        <v>27</v>
      </c>
      <c r="I152">
        <v>3.7</v>
      </c>
      <c r="J152">
        <v>56</v>
      </c>
      <c r="K152">
        <v>62</v>
      </c>
      <c r="L152">
        <v>12.5</v>
      </c>
      <c r="M152" t="s">
        <v>27</v>
      </c>
      <c r="N152">
        <v>20.5</v>
      </c>
      <c r="O152" t="s">
        <v>31</v>
      </c>
      <c r="P152">
        <v>14</v>
      </c>
      <c r="Q152" t="s">
        <v>25</v>
      </c>
      <c r="R152">
        <v>13.5</v>
      </c>
      <c r="S152">
        <v>2022</v>
      </c>
      <c r="T152" t="s">
        <v>51</v>
      </c>
    </row>
    <row r="153" spans="1:20" x14ac:dyDescent="0.3">
      <c r="A153" t="s">
        <v>30</v>
      </c>
      <c r="B153">
        <v>14</v>
      </c>
      <c r="C153" t="s">
        <v>35</v>
      </c>
      <c r="D153">
        <v>15</v>
      </c>
      <c r="E153" s="20">
        <v>44703</v>
      </c>
      <c r="F153">
        <v>6</v>
      </c>
      <c r="G153">
        <v>66</v>
      </c>
      <c r="H153">
        <v>25</v>
      </c>
      <c r="I153">
        <v>3.5</v>
      </c>
      <c r="J153">
        <v>54</v>
      </c>
      <c r="K153">
        <v>52</v>
      </c>
      <c r="L153">
        <v>12</v>
      </c>
      <c r="M153" t="s">
        <v>27</v>
      </c>
      <c r="N153">
        <v>19</v>
      </c>
      <c r="O153" t="s">
        <v>31</v>
      </c>
      <c r="P153">
        <v>13</v>
      </c>
      <c r="Q153" t="s">
        <v>25</v>
      </c>
      <c r="R153">
        <v>12</v>
      </c>
      <c r="S153">
        <v>2022</v>
      </c>
      <c r="T153" t="s">
        <v>51</v>
      </c>
    </row>
    <row r="154" spans="1:20" x14ac:dyDescent="0.3">
      <c r="A154" t="s">
        <v>30</v>
      </c>
      <c r="B154">
        <v>14</v>
      </c>
      <c r="C154" t="s">
        <v>19</v>
      </c>
      <c r="D154">
        <v>119</v>
      </c>
      <c r="E154" s="20">
        <v>44713</v>
      </c>
      <c r="F154">
        <v>17</v>
      </c>
      <c r="G154">
        <v>70.63</v>
      </c>
      <c r="H154">
        <v>42</v>
      </c>
      <c r="I154">
        <v>4.2</v>
      </c>
      <c r="J154">
        <v>60</v>
      </c>
      <c r="K154">
        <v>96</v>
      </c>
      <c r="L154">
        <v>14.5</v>
      </c>
      <c r="M154" t="s">
        <v>27</v>
      </c>
      <c r="N154">
        <v>21</v>
      </c>
      <c r="O154" t="s">
        <v>31</v>
      </c>
      <c r="P154">
        <v>16</v>
      </c>
      <c r="Q154" t="s">
        <v>25</v>
      </c>
      <c r="R154">
        <v>15.5</v>
      </c>
      <c r="S154">
        <v>2022</v>
      </c>
      <c r="T154" t="s">
        <v>52</v>
      </c>
    </row>
    <row r="155" spans="1:20" x14ac:dyDescent="0.3">
      <c r="A155" t="s">
        <v>30</v>
      </c>
      <c r="B155">
        <v>14</v>
      </c>
      <c r="C155" t="s">
        <v>23</v>
      </c>
      <c r="D155">
        <v>116</v>
      </c>
      <c r="E155" s="20">
        <v>44714</v>
      </c>
      <c r="F155">
        <v>9</v>
      </c>
      <c r="G155">
        <v>67</v>
      </c>
      <c r="H155">
        <v>27</v>
      </c>
      <c r="I155">
        <v>3.7</v>
      </c>
      <c r="J155">
        <v>56</v>
      </c>
      <c r="K155">
        <v>62</v>
      </c>
      <c r="L155">
        <v>12.5</v>
      </c>
      <c r="M155" t="s">
        <v>27</v>
      </c>
      <c r="N155">
        <v>20.5</v>
      </c>
      <c r="O155" t="s">
        <v>31</v>
      </c>
      <c r="P155">
        <v>14</v>
      </c>
      <c r="Q155" t="s">
        <v>25</v>
      </c>
      <c r="R155">
        <v>13.5</v>
      </c>
      <c r="S155">
        <v>2022</v>
      </c>
      <c r="T155" t="s">
        <v>52</v>
      </c>
    </row>
    <row r="156" spans="1:20" x14ac:dyDescent="0.3">
      <c r="A156" t="s">
        <v>30</v>
      </c>
      <c r="B156">
        <v>14</v>
      </c>
      <c r="C156" t="s">
        <v>35</v>
      </c>
      <c r="D156">
        <v>122</v>
      </c>
      <c r="E156" s="20">
        <v>44715</v>
      </c>
      <c r="F156">
        <v>6</v>
      </c>
      <c r="G156">
        <v>66</v>
      </c>
      <c r="H156">
        <v>25</v>
      </c>
      <c r="I156">
        <v>3.5</v>
      </c>
      <c r="J156">
        <v>54</v>
      </c>
      <c r="K156">
        <v>52</v>
      </c>
      <c r="L156">
        <v>12</v>
      </c>
      <c r="M156" t="s">
        <v>27</v>
      </c>
      <c r="N156">
        <v>19</v>
      </c>
      <c r="O156" t="s">
        <v>31</v>
      </c>
      <c r="P156">
        <v>13</v>
      </c>
      <c r="Q156" t="s">
        <v>25</v>
      </c>
      <c r="R156">
        <v>12</v>
      </c>
      <c r="S156">
        <v>2022</v>
      </c>
      <c r="T156" t="s">
        <v>52</v>
      </c>
    </row>
    <row r="157" spans="1:20" x14ac:dyDescent="0.3">
      <c r="A157" t="s">
        <v>30</v>
      </c>
      <c r="B157">
        <v>14</v>
      </c>
      <c r="C157" t="s">
        <v>23</v>
      </c>
      <c r="D157">
        <v>2</v>
      </c>
      <c r="E157" s="20">
        <v>44732</v>
      </c>
      <c r="F157">
        <v>14</v>
      </c>
      <c r="G157">
        <v>70.63</v>
      </c>
      <c r="H157">
        <v>41</v>
      </c>
      <c r="I157">
        <v>3.9</v>
      </c>
      <c r="J157">
        <v>59.4</v>
      </c>
      <c r="K157">
        <v>25</v>
      </c>
      <c r="L157">
        <v>15.6</v>
      </c>
      <c r="M157" t="s">
        <v>27</v>
      </c>
      <c r="N157">
        <v>23.7</v>
      </c>
      <c r="O157" t="s">
        <v>31</v>
      </c>
      <c r="P157">
        <v>15.6</v>
      </c>
      <c r="Q157" t="s">
        <v>25</v>
      </c>
      <c r="R157">
        <v>15.1</v>
      </c>
      <c r="S157">
        <v>2022</v>
      </c>
      <c r="T157" t="s">
        <v>52</v>
      </c>
    </row>
    <row r="158" spans="1:20" x14ac:dyDescent="0.3">
      <c r="A158" t="s">
        <v>30</v>
      </c>
      <c r="B158">
        <v>14</v>
      </c>
      <c r="C158" t="s">
        <v>19</v>
      </c>
      <c r="D158">
        <v>19</v>
      </c>
      <c r="E158" s="20">
        <v>44739</v>
      </c>
      <c r="F158">
        <v>17</v>
      </c>
      <c r="G158">
        <v>72</v>
      </c>
      <c r="H158">
        <v>42</v>
      </c>
      <c r="I158">
        <v>4</v>
      </c>
      <c r="J158">
        <v>60</v>
      </c>
      <c r="K158">
        <v>98</v>
      </c>
      <c r="L158">
        <v>14.5</v>
      </c>
      <c r="M158" t="s">
        <v>27</v>
      </c>
      <c r="N158">
        <v>21</v>
      </c>
      <c r="O158" t="s">
        <v>31</v>
      </c>
      <c r="P158">
        <v>16</v>
      </c>
      <c r="Q158" t="s">
        <v>25</v>
      </c>
      <c r="R158">
        <v>15.5</v>
      </c>
      <c r="S158">
        <v>2022</v>
      </c>
      <c r="T158" t="s">
        <v>52</v>
      </c>
    </row>
    <row r="159" spans="1:20" x14ac:dyDescent="0.3">
      <c r="A159" t="s">
        <v>30</v>
      </c>
      <c r="B159">
        <v>14</v>
      </c>
      <c r="C159" t="s">
        <v>23</v>
      </c>
      <c r="D159">
        <v>116</v>
      </c>
      <c r="E159" s="20">
        <v>44740</v>
      </c>
      <c r="F159">
        <v>10</v>
      </c>
      <c r="G159">
        <v>67</v>
      </c>
      <c r="H159">
        <v>27</v>
      </c>
      <c r="I159">
        <v>3.5</v>
      </c>
      <c r="J159">
        <v>56</v>
      </c>
      <c r="K159">
        <v>62</v>
      </c>
      <c r="L159">
        <v>12.5</v>
      </c>
      <c r="M159" t="s">
        <v>27</v>
      </c>
      <c r="N159">
        <v>20.5</v>
      </c>
      <c r="O159" t="s">
        <v>31</v>
      </c>
      <c r="P159">
        <v>14</v>
      </c>
      <c r="Q159" t="s">
        <v>25</v>
      </c>
      <c r="R159">
        <v>13</v>
      </c>
      <c r="S159">
        <v>2022</v>
      </c>
      <c r="T159" t="s">
        <v>52</v>
      </c>
    </row>
    <row r="160" spans="1:20" x14ac:dyDescent="0.3">
      <c r="A160" t="s">
        <v>30</v>
      </c>
      <c r="B160">
        <v>14</v>
      </c>
      <c r="C160" t="s">
        <v>35</v>
      </c>
      <c r="D160">
        <v>4</v>
      </c>
      <c r="E160" s="20">
        <v>44741</v>
      </c>
      <c r="F160">
        <v>9</v>
      </c>
      <c r="G160">
        <v>66</v>
      </c>
      <c r="H160">
        <v>25</v>
      </c>
      <c r="I160">
        <v>3.4</v>
      </c>
      <c r="J160">
        <v>54</v>
      </c>
      <c r="K160">
        <v>52</v>
      </c>
      <c r="L160">
        <v>12</v>
      </c>
      <c r="M160" t="s">
        <v>27</v>
      </c>
      <c r="N160">
        <v>19</v>
      </c>
      <c r="O160" t="s">
        <v>31</v>
      </c>
      <c r="P160">
        <v>13</v>
      </c>
      <c r="Q160" t="s">
        <v>25</v>
      </c>
      <c r="R160">
        <v>12</v>
      </c>
      <c r="S160">
        <v>2022</v>
      </c>
      <c r="T160" t="s">
        <v>52</v>
      </c>
    </row>
    <row r="161" spans="1:20" x14ac:dyDescent="0.3">
      <c r="A161" t="s">
        <v>30</v>
      </c>
      <c r="B161">
        <v>14</v>
      </c>
      <c r="C161" t="s">
        <v>19</v>
      </c>
      <c r="D161">
        <v>20</v>
      </c>
      <c r="E161" s="20">
        <v>44760</v>
      </c>
      <c r="F161">
        <v>18</v>
      </c>
      <c r="G161">
        <v>72</v>
      </c>
      <c r="H161">
        <v>42</v>
      </c>
      <c r="I161">
        <v>4</v>
      </c>
      <c r="J161">
        <v>60</v>
      </c>
      <c r="K161">
        <v>98</v>
      </c>
      <c r="L161">
        <v>14.5</v>
      </c>
      <c r="M161" t="s">
        <v>27</v>
      </c>
      <c r="N161">
        <v>21</v>
      </c>
      <c r="O161" t="s">
        <v>31</v>
      </c>
      <c r="P161">
        <v>16</v>
      </c>
      <c r="Q161" t="s">
        <v>25</v>
      </c>
      <c r="R161">
        <v>15.5</v>
      </c>
      <c r="S161">
        <v>2022</v>
      </c>
      <c r="T161" t="s">
        <v>53</v>
      </c>
    </row>
    <row r="162" spans="1:20" x14ac:dyDescent="0.3">
      <c r="A162" t="s">
        <v>30</v>
      </c>
      <c r="B162">
        <v>14</v>
      </c>
      <c r="C162" t="s">
        <v>23</v>
      </c>
      <c r="D162">
        <v>16</v>
      </c>
      <c r="E162" s="20">
        <v>44761</v>
      </c>
      <c r="F162">
        <v>10</v>
      </c>
      <c r="G162">
        <v>67</v>
      </c>
      <c r="H162">
        <v>27</v>
      </c>
      <c r="I162">
        <v>3.5</v>
      </c>
      <c r="J162">
        <v>56</v>
      </c>
      <c r="K162">
        <v>62</v>
      </c>
      <c r="L162">
        <v>12.5</v>
      </c>
      <c r="M162" t="s">
        <v>27</v>
      </c>
      <c r="N162">
        <v>20.5</v>
      </c>
      <c r="O162" t="s">
        <v>31</v>
      </c>
      <c r="P162">
        <v>14</v>
      </c>
      <c r="Q162" t="s">
        <v>25</v>
      </c>
      <c r="R162">
        <v>13</v>
      </c>
      <c r="S162">
        <v>2022</v>
      </c>
      <c r="T162" t="s">
        <v>53</v>
      </c>
    </row>
    <row r="163" spans="1:20" x14ac:dyDescent="0.3">
      <c r="A163" t="s">
        <v>30</v>
      </c>
      <c r="B163">
        <v>14</v>
      </c>
      <c r="C163" t="s">
        <v>35</v>
      </c>
      <c r="D163">
        <v>14</v>
      </c>
      <c r="E163" s="20">
        <v>44762</v>
      </c>
      <c r="F163">
        <v>9</v>
      </c>
      <c r="G163">
        <v>66</v>
      </c>
      <c r="H163">
        <v>25</v>
      </c>
      <c r="I163">
        <v>3.4</v>
      </c>
      <c r="J163">
        <v>54</v>
      </c>
      <c r="K163">
        <v>52</v>
      </c>
      <c r="L163">
        <v>12</v>
      </c>
      <c r="M163" t="s">
        <v>27</v>
      </c>
      <c r="N163">
        <v>19</v>
      </c>
      <c r="O163" t="s">
        <v>31</v>
      </c>
      <c r="P163">
        <v>13</v>
      </c>
      <c r="Q163" t="s">
        <v>25</v>
      </c>
      <c r="R163">
        <v>12</v>
      </c>
      <c r="S163">
        <v>2022</v>
      </c>
      <c r="T163" t="s">
        <v>53</v>
      </c>
    </row>
    <row r="164" spans="1:20" x14ac:dyDescent="0.3">
      <c r="A164" t="s">
        <v>18</v>
      </c>
      <c r="B164">
        <v>91</v>
      </c>
      <c r="C164" t="s">
        <v>19</v>
      </c>
      <c r="D164">
        <v>52</v>
      </c>
      <c r="E164" s="20">
        <v>44570</v>
      </c>
      <c r="F164">
        <v>53</v>
      </c>
      <c r="G164">
        <v>54.88</v>
      </c>
      <c r="H164">
        <v>77</v>
      </c>
      <c r="I164">
        <v>4.3</v>
      </c>
      <c r="J164">
        <v>61.5</v>
      </c>
      <c r="K164">
        <v>69</v>
      </c>
      <c r="L164">
        <v>17.100000000000001</v>
      </c>
      <c r="M164" t="s">
        <v>20</v>
      </c>
      <c r="N164">
        <v>6.2</v>
      </c>
      <c r="O164" t="s">
        <v>21</v>
      </c>
      <c r="P164">
        <v>17.399999999999999</v>
      </c>
      <c r="Q164" t="s">
        <v>22</v>
      </c>
      <c r="R164">
        <v>22.2</v>
      </c>
      <c r="S164">
        <v>2022</v>
      </c>
      <c r="T164" t="s">
        <v>47</v>
      </c>
    </row>
    <row r="165" spans="1:20" x14ac:dyDescent="0.3">
      <c r="A165" t="s">
        <v>18</v>
      </c>
      <c r="B165">
        <v>91</v>
      </c>
      <c r="C165" t="s">
        <v>23</v>
      </c>
      <c r="D165">
        <v>125</v>
      </c>
      <c r="E165" s="20">
        <v>44571</v>
      </c>
      <c r="F165">
        <v>30</v>
      </c>
      <c r="G165">
        <v>56.3</v>
      </c>
      <c r="H165">
        <v>73</v>
      </c>
      <c r="I165">
        <v>3.7</v>
      </c>
      <c r="J165">
        <v>59.2</v>
      </c>
      <c r="K165">
        <v>56</v>
      </c>
      <c r="L165">
        <v>16</v>
      </c>
      <c r="M165" t="s">
        <v>20</v>
      </c>
      <c r="N165">
        <v>6</v>
      </c>
      <c r="O165" t="s">
        <v>21</v>
      </c>
      <c r="P165">
        <v>16.8</v>
      </c>
      <c r="Q165" t="s">
        <v>22</v>
      </c>
      <c r="R165">
        <v>21.5</v>
      </c>
      <c r="S165">
        <v>2022</v>
      </c>
      <c r="T165" t="s">
        <v>47</v>
      </c>
    </row>
    <row r="166" spans="1:20" x14ac:dyDescent="0.3">
      <c r="A166" t="s">
        <v>18</v>
      </c>
      <c r="B166">
        <v>91</v>
      </c>
      <c r="C166" t="s">
        <v>19</v>
      </c>
      <c r="D166">
        <v>45</v>
      </c>
      <c r="E166" s="20">
        <v>44582</v>
      </c>
      <c r="F166">
        <v>50</v>
      </c>
      <c r="G166">
        <v>54.88</v>
      </c>
      <c r="H166">
        <v>77</v>
      </c>
      <c r="I166">
        <v>4.2</v>
      </c>
      <c r="J166">
        <v>61.5</v>
      </c>
      <c r="K166">
        <v>68</v>
      </c>
      <c r="L166">
        <v>17.100000000000001</v>
      </c>
      <c r="M166" t="s">
        <v>20</v>
      </c>
      <c r="N166">
        <v>6.2</v>
      </c>
      <c r="O166" t="s">
        <v>21</v>
      </c>
      <c r="P166">
        <v>17.399999999999999</v>
      </c>
      <c r="Q166" t="s">
        <v>22</v>
      </c>
      <c r="R166">
        <v>22.2</v>
      </c>
      <c r="S166">
        <v>2022</v>
      </c>
      <c r="T166" t="s">
        <v>47</v>
      </c>
    </row>
    <row r="167" spans="1:20" x14ac:dyDescent="0.3">
      <c r="A167" t="s">
        <v>18</v>
      </c>
      <c r="B167">
        <v>91</v>
      </c>
      <c r="C167" t="s">
        <v>23</v>
      </c>
      <c r="D167">
        <v>28</v>
      </c>
      <c r="E167" s="20">
        <v>44583</v>
      </c>
      <c r="F167">
        <v>33</v>
      </c>
      <c r="G167">
        <v>56.3</v>
      </c>
      <c r="H167">
        <v>73</v>
      </c>
      <c r="I167">
        <v>3.7</v>
      </c>
      <c r="J167">
        <v>59.2</v>
      </c>
      <c r="K167">
        <v>57</v>
      </c>
      <c r="L167">
        <v>16</v>
      </c>
      <c r="M167" t="s">
        <v>20</v>
      </c>
      <c r="N167">
        <v>6</v>
      </c>
      <c r="O167" t="s">
        <v>21</v>
      </c>
      <c r="P167">
        <v>16.8</v>
      </c>
      <c r="Q167" t="s">
        <v>22</v>
      </c>
      <c r="R167">
        <v>21.5</v>
      </c>
      <c r="S167">
        <v>2022</v>
      </c>
      <c r="T167" t="s">
        <v>47</v>
      </c>
    </row>
    <row r="168" spans="1:20" x14ac:dyDescent="0.3">
      <c r="A168" t="s">
        <v>18</v>
      </c>
      <c r="B168">
        <v>91</v>
      </c>
      <c r="C168" t="s">
        <v>19</v>
      </c>
      <c r="D168">
        <v>25</v>
      </c>
      <c r="E168" s="20">
        <v>44594</v>
      </c>
      <c r="F168">
        <v>47</v>
      </c>
      <c r="G168">
        <v>54.88</v>
      </c>
      <c r="H168">
        <v>77</v>
      </c>
      <c r="I168">
        <v>4.4000000000000004</v>
      </c>
      <c r="J168">
        <v>61.5</v>
      </c>
      <c r="K168">
        <v>66</v>
      </c>
      <c r="L168">
        <v>17.100000000000001</v>
      </c>
      <c r="M168" t="s">
        <v>20</v>
      </c>
      <c r="N168">
        <v>6.2</v>
      </c>
      <c r="O168" t="s">
        <v>21</v>
      </c>
      <c r="P168">
        <v>17.399999999999999</v>
      </c>
      <c r="Q168" t="s">
        <v>22</v>
      </c>
      <c r="R168">
        <v>22.2</v>
      </c>
      <c r="S168">
        <v>2022</v>
      </c>
      <c r="T168" t="s">
        <v>48</v>
      </c>
    </row>
    <row r="169" spans="1:20" x14ac:dyDescent="0.3">
      <c r="A169" t="s">
        <v>18</v>
      </c>
      <c r="B169">
        <v>91</v>
      </c>
      <c r="C169" t="s">
        <v>23</v>
      </c>
      <c r="D169">
        <v>300</v>
      </c>
      <c r="E169" s="20">
        <v>44595</v>
      </c>
      <c r="F169">
        <v>35</v>
      </c>
      <c r="G169">
        <v>56.3</v>
      </c>
      <c r="H169">
        <v>73</v>
      </c>
      <c r="I169">
        <v>3.9</v>
      </c>
      <c r="J169">
        <v>59.2</v>
      </c>
      <c r="K169">
        <v>56</v>
      </c>
      <c r="L169">
        <v>16</v>
      </c>
      <c r="M169" t="s">
        <v>20</v>
      </c>
      <c r="N169">
        <v>6</v>
      </c>
      <c r="O169" t="s">
        <v>21</v>
      </c>
      <c r="P169">
        <v>16.8</v>
      </c>
      <c r="Q169" t="s">
        <v>22</v>
      </c>
      <c r="R169">
        <v>21.5</v>
      </c>
      <c r="S169">
        <v>2022</v>
      </c>
      <c r="T169" t="s">
        <v>48</v>
      </c>
    </row>
    <row r="170" spans="1:20" x14ac:dyDescent="0.3">
      <c r="A170" t="s">
        <v>18</v>
      </c>
      <c r="B170">
        <v>91</v>
      </c>
      <c r="C170" t="s">
        <v>19</v>
      </c>
      <c r="D170">
        <v>40</v>
      </c>
      <c r="E170" s="20">
        <v>44606</v>
      </c>
      <c r="F170">
        <v>47</v>
      </c>
      <c r="G170">
        <v>54.88</v>
      </c>
      <c r="H170">
        <v>77</v>
      </c>
      <c r="I170">
        <v>4.4000000000000004</v>
      </c>
      <c r="J170">
        <v>61.5</v>
      </c>
      <c r="K170">
        <v>66</v>
      </c>
      <c r="L170">
        <v>17.100000000000001</v>
      </c>
      <c r="M170" t="s">
        <v>20</v>
      </c>
      <c r="N170">
        <v>6.2</v>
      </c>
      <c r="O170" t="s">
        <v>21</v>
      </c>
      <c r="P170">
        <v>17.399999999999999</v>
      </c>
      <c r="Q170" t="s">
        <v>22</v>
      </c>
      <c r="R170">
        <v>22.2</v>
      </c>
      <c r="S170">
        <v>2022</v>
      </c>
      <c r="T170" t="s">
        <v>48</v>
      </c>
    </row>
    <row r="171" spans="1:20" x14ac:dyDescent="0.3">
      <c r="A171" t="s">
        <v>18</v>
      </c>
      <c r="B171">
        <v>91</v>
      </c>
      <c r="C171" t="s">
        <v>23</v>
      </c>
      <c r="D171">
        <v>30</v>
      </c>
      <c r="E171" s="20">
        <v>44607</v>
      </c>
      <c r="F171">
        <v>35</v>
      </c>
      <c r="G171">
        <v>56.3</v>
      </c>
      <c r="H171">
        <v>73</v>
      </c>
      <c r="I171">
        <v>3.9</v>
      </c>
      <c r="J171">
        <v>59.2</v>
      </c>
      <c r="K171">
        <v>56</v>
      </c>
      <c r="L171">
        <v>16</v>
      </c>
      <c r="M171" t="s">
        <v>20</v>
      </c>
      <c r="N171">
        <v>6</v>
      </c>
      <c r="O171" t="s">
        <v>21</v>
      </c>
      <c r="P171">
        <v>16.8</v>
      </c>
      <c r="Q171" t="s">
        <v>22</v>
      </c>
      <c r="R171">
        <v>21.5</v>
      </c>
      <c r="S171">
        <v>2022</v>
      </c>
      <c r="T171" t="s">
        <v>48</v>
      </c>
    </row>
    <row r="172" spans="1:20" x14ac:dyDescent="0.3">
      <c r="A172" t="s">
        <v>18</v>
      </c>
      <c r="B172">
        <v>91</v>
      </c>
      <c r="C172" t="s">
        <v>19</v>
      </c>
      <c r="D172">
        <v>40</v>
      </c>
      <c r="E172" s="20">
        <v>44618</v>
      </c>
      <c r="F172">
        <v>47</v>
      </c>
      <c r="G172">
        <v>54.88</v>
      </c>
      <c r="H172">
        <v>77</v>
      </c>
      <c r="I172">
        <v>4.4000000000000004</v>
      </c>
      <c r="J172">
        <v>1.5</v>
      </c>
      <c r="K172">
        <v>66</v>
      </c>
      <c r="L172">
        <v>17.100000000000001</v>
      </c>
      <c r="M172" t="s">
        <v>20</v>
      </c>
      <c r="N172">
        <v>6.2</v>
      </c>
      <c r="O172" t="s">
        <v>21</v>
      </c>
      <c r="P172">
        <v>17.399999999999999</v>
      </c>
      <c r="Q172" t="s">
        <v>22</v>
      </c>
      <c r="R172">
        <v>22.2</v>
      </c>
      <c r="S172">
        <v>2022</v>
      </c>
      <c r="T172" t="s">
        <v>48</v>
      </c>
    </row>
    <row r="173" spans="1:20" x14ac:dyDescent="0.3">
      <c r="A173" t="s">
        <v>18</v>
      </c>
      <c r="B173">
        <v>91</v>
      </c>
      <c r="C173" t="s">
        <v>23</v>
      </c>
      <c r="D173">
        <v>30</v>
      </c>
      <c r="E173" s="20">
        <v>44619</v>
      </c>
      <c r="F173">
        <v>35</v>
      </c>
      <c r="G173">
        <v>56.3</v>
      </c>
      <c r="H173">
        <v>73</v>
      </c>
      <c r="I173">
        <v>3.9</v>
      </c>
      <c r="J173">
        <v>59.2</v>
      </c>
      <c r="K173">
        <v>56</v>
      </c>
      <c r="L173">
        <v>16</v>
      </c>
      <c r="M173" t="s">
        <v>20</v>
      </c>
      <c r="N173">
        <v>6</v>
      </c>
      <c r="O173" t="s">
        <v>21</v>
      </c>
      <c r="P173">
        <v>16.8</v>
      </c>
      <c r="Q173" t="s">
        <v>22</v>
      </c>
      <c r="R173">
        <v>21.5</v>
      </c>
      <c r="S173">
        <v>2022</v>
      </c>
      <c r="T173" t="s">
        <v>48</v>
      </c>
    </row>
    <row r="174" spans="1:20" x14ac:dyDescent="0.3">
      <c r="A174" t="s">
        <v>18</v>
      </c>
      <c r="B174">
        <v>91</v>
      </c>
      <c r="C174" t="s">
        <v>19</v>
      </c>
      <c r="D174">
        <v>56</v>
      </c>
      <c r="E174" s="20">
        <v>44630</v>
      </c>
      <c r="F174">
        <v>55</v>
      </c>
      <c r="G174">
        <v>54.88</v>
      </c>
      <c r="H174">
        <v>77</v>
      </c>
      <c r="I174">
        <v>4.3</v>
      </c>
      <c r="J174">
        <v>1.5</v>
      </c>
      <c r="K174">
        <v>71</v>
      </c>
      <c r="L174">
        <v>17.100000000000001</v>
      </c>
      <c r="M174" t="s">
        <v>20</v>
      </c>
      <c r="N174">
        <v>6.2</v>
      </c>
      <c r="O174" t="s">
        <v>21</v>
      </c>
      <c r="P174">
        <v>17.399999999999999</v>
      </c>
      <c r="Q174" t="s">
        <v>22</v>
      </c>
      <c r="R174">
        <v>22.2</v>
      </c>
      <c r="S174">
        <v>2022</v>
      </c>
      <c r="T174" t="s">
        <v>49</v>
      </c>
    </row>
    <row r="175" spans="1:20" x14ac:dyDescent="0.3">
      <c r="A175" t="s">
        <v>18</v>
      </c>
      <c r="B175">
        <v>91</v>
      </c>
      <c r="C175" t="s">
        <v>23</v>
      </c>
      <c r="D175">
        <v>24</v>
      </c>
      <c r="E175" s="20">
        <v>44631</v>
      </c>
      <c r="F175">
        <v>28</v>
      </c>
      <c r="G175">
        <v>56.3</v>
      </c>
      <c r="H175">
        <v>73</v>
      </c>
      <c r="I175">
        <v>3.5</v>
      </c>
      <c r="J175">
        <v>5</v>
      </c>
      <c r="K175">
        <v>55</v>
      </c>
      <c r="L175">
        <v>16</v>
      </c>
      <c r="M175" t="s">
        <v>20</v>
      </c>
      <c r="N175">
        <v>6</v>
      </c>
      <c r="O175" t="s">
        <v>21</v>
      </c>
      <c r="P175">
        <v>16.8</v>
      </c>
      <c r="Q175" t="s">
        <v>22</v>
      </c>
      <c r="R175">
        <v>21.5</v>
      </c>
      <c r="S175">
        <v>2022</v>
      </c>
      <c r="T175" t="s">
        <v>49</v>
      </c>
    </row>
    <row r="176" spans="1:20" x14ac:dyDescent="0.3">
      <c r="A176" t="s">
        <v>18</v>
      </c>
      <c r="B176">
        <v>91</v>
      </c>
      <c r="C176" t="s">
        <v>19</v>
      </c>
      <c r="D176">
        <v>156</v>
      </c>
      <c r="E176" s="20">
        <v>44642</v>
      </c>
      <c r="F176">
        <v>55</v>
      </c>
      <c r="G176">
        <v>54.88</v>
      </c>
      <c r="H176">
        <v>77</v>
      </c>
      <c r="I176">
        <v>4.3</v>
      </c>
      <c r="J176">
        <v>61.5</v>
      </c>
      <c r="K176">
        <v>71</v>
      </c>
      <c r="L176">
        <v>17.100000000000001</v>
      </c>
      <c r="M176" t="s">
        <v>20</v>
      </c>
      <c r="N176">
        <v>6.2</v>
      </c>
      <c r="O176" t="s">
        <v>21</v>
      </c>
      <c r="P176">
        <v>17.399999999999999</v>
      </c>
      <c r="Q176" t="s">
        <v>22</v>
      </c>
      <c r="R176">
        <v>22.2</v>
      </c>
      <c r="S176">
        <v>2022</v>
      </c>
      <c r="T176" t="s">
        <v>49</v>
      </c>
    </row>
    <row r="177" spans="1:20" x14ac:dyDescent="0.3">
      <c r="A177" t="s">
        <v>18</v>
      </c>
      <c r="B177">
        <v>91</v>
      </c>
      <c r="C177" t="s">
        <v>23</v>
      </c>
      <c r="D177">
        <v>24</v>
      </c>
      <c r="E177" s="20">
        <v>44643</v>
      </c>
      <c r="F177">
        <v>28</v>
      </c>
      <c r="G177">
        <v>56.3</v>
      </c>
      <c r="H177">
        <v>73</v>
      </c>
      <c r="I177">
        <v>3.5</v>
      </c>
      <c r="J177">
        <v>59.2</v>
      </c>
      <c r="K177">
        <v>55</v>
      </c>
      <c r="L177">
        <v>16</v>
      </c>
      <c r="M177" t="s">
        <v>20</v>
      </c>
      <c r="N177">
        <v>6</v>
      </c>
      <c r="O177" t="s">
        <v>21</v>
      </c>
      <c r="P177">
        <v>16.8</v>
      </c>
      <c r="Q177" t="s">
        <v>22</v>
      </c>
      <c r="R177">
        <v>21.5</v>
      </c>
      <c r="S177">
        <v>2022</v>
      </c>
      <c r="T177" t="s">
        <v>49</v>
      </c>
    </row>
    <row r="178" spans="1:20" x14ac:dyDescent="0.3">
      <c r="A178" t="s">
        <v>18</v>
      </c>
      <c r="B178">
        <v>91</v>
      </c>
      <c r="C178" t="s">
        <v>19</v>
      </c>
      <c r="D178">
        <v>58</v>
      </c>
      <c r="E178" s="20">
        <v>44654</v>
      </c>
      <c r="F178">
        <v>54</v>
      </c>
      <c r="G178">
        <v>55.5</v>
      </c>
      <c r="H178">
        <v>77</v>
      </c>
      <c r="I178">
        <v>4.0999999999999996</v>
      </c>
      <c r="J178">
        <v>60</v>
      </c>
      <c r="K178">
        <v>72</v>
      </c>
      <c r="L178">
        <v>17.3</v>
      </c>
      <c r="M178" t="s">
        <v>20</v>
      </c>
      <c r="N178">
        <v>6.5</v>
      </c>
      <c r="O178" t="s">
        <v>21</v>
      </c>
      <c r="P178">
        <v>18.2</v>
      </c>
      <c r="Q178" t="s">
        <v>22</v>
      </c>
      <c r="R178">
        <v>23</v>
      </c>
      <c r="S178">
        <v>2022</v>
      </c>
      <c r="T178" t="s">
        <v>50</v>
      </c>
    </row>
    <row r="179" spans="1:20" x14ac:dyDescent="0.3">
      <c r="A179" t="s">
        <v>18</v>
      </c>
      <c r="B179">
        <v>91</v>
      </c>
      <c r="C179" t="s">
        <v>23</v>
      </c>
      <c r="D179">
        <v>22</v>
      </c>
      <c r="E179" s="20">
        <v>44655</v>
      </c>
      <c r="F179">
        <v>26</v>
      </c>
      <c r="G179">
        <v>58</v>
      </c>
      <c r="H179">
        <v>70</v>
      </c>
      <c r="I179">
        <v>3.8</v>
      </c>
      <c r="J179">
        <v>58</v>
      </c>
      <c r="K179">
        <v>54</v>
      </c>
      <c r="L179">
        <v>15.5</v>
      </c>
      <c r="M179" t="s">
        <v>20</v>
      </c>
      <c r="N179">
        <v>5.8</v>
      </c>
      <c r="O179" t="s">
        <v>21</v>
      </c>
      <c r="P179">
        <v>15</v>
      </c>
      <c r="Q179" t="s">
        <v>22</v>
      </c>
      <c r="R179">
        <v>20</v>
      </c>
      <c r="S179">
        <v>2022</v>
      </c>
      <c r="T179" t="s">
        <v>50</v>
      </c>
    </row>
    <row r="180" spans="1:20" x14ac:dyDescent="0.3">
      <c r="A180" t="s">
        <v>18</v>
      </c>
      <c r="B180">
        <v>91</v>
      </c>
      <c r="C180" t="s">
        <v>19</v>
      </c>
      <c r="D180">
        <v>54</v>
      </c>
      <c r="E180" s="20">
        <v>44666</v>
      </c>
      <c r="F180">
        <v>52</v>
      </c>
      <c r="G180">
        <v>54</v>
      </c>
      <c r="H180">
        <v>77</v>
      </c>
      <c r="I180">
        <v>4.4000000000000004</v>
      </c>
      <c r="J180">
        <v>59</v>
      </c>
      <c r="K180">
        <v>73</v>
      </c>
      <c r="L180">
        <v>16</v>
      </c>
      <c r="M180" t="s">
        <v>20</v>
      </c>
      <c r="N180">
        <v>7</v>
      </c>
      <c r="O180" t="s">
        <v>21</v>
      </c>
      <c r="P180">
        <v>15</v>
      </c>
      <c r="Q180" t="s">
        <v>22</v>
      </c>
      <c r="R180">
        <v>22</v>
      </c>
      <c r="S180">
        <v>2022</v>
      </c>
      <c r="T180" t="s">
        <v>50</v>
      </c>
    </row>
    <row r="181" spans="1:20" x14ac:dyDescent="0.3">
      <c r="A181" t="s">
        <v>18</v>
      </c>
      <c r="B181">
        <v>91</v>
      </c>
      <c r="C181" t="s">
        <v>23</v>
      </c>
      <c r="D181">
        <v>2</v>
      </c>
      <c r="E181" s="20">
        <v>44667</v>
      </c>
      <c r="F181">
        <v>27</v>
      </c>
      <c r="G181">
        <v>56</v>
      </c>
      <c r="H181">
        <v>70</v>
      </c>
      <c r="I181">
        <v>3.8</v>
      </c>
      <c r="J181">
        <v>58</v>
      </c>
      <c r="K181">
        <v>58</v>
      </c>
      <c r="L181">
        <v>14</v>
      </c>
      <c r="M181" t="s">
        <v>20</v>
      </c>
      <c r="N181">
        <v>6</v>
      </c>
      <c r="O181" t="s">
        <v>21</v>
      </c>
      <c r="P181">
        <v>14</v>
      </c>
      <c r="Q181" t="s">
        <v>22</v>
      </c>
      <c r="R181">
        <v>21</v>
      </c>
      <c r="S181">
        <v>2022</v>
      </c>
      <c r="T181" t="s">
        <v>50</v>
      </c>
    </row>
    <row r="182" spans="1:20" x14ac:dyDescent="0.3">
      <c r="A182" t="s">
        <v>18</v>
      </c>
      <c r="B182">
        <v>91</v>
      </c>
      <c r="C182" t="s">
        <v>19</v>
      </c>
      <c r="D182">
        <v>56</v>
      </c>
      <c r="E182" s="20">
        <v>44672</v>
      </c>
      <c r="F182">
        <v>55</v>
      </c>
      <c r="G182">
        <v>54.88</v>
      </c>
      <c r="H182">
        <v>77</v>
      </c>
      <c r="I182">
        <v>4.3</v>
      </c>
      <c r="J182">
        <v>1.5</v>
      </c>
      <c r="K182">
        <v>71</v>
      </c>
      <c r="L182">
        <v>17.100000000000001</v>
      </c>
      <c r="M182" t="s">
        <v>20</v>
      </c>
      <c r="N182">
        <v>6.2</v>
      </c>
      <c r="O182" t="s">
        <v>21</v>
      </c>
      <c r="P182">
        <v>17.399999999999999</v>
      </c>
      <c r="Q182" t="s">
        <v>22</v>
      </c>
      <c r="R182">
        <v>22.2</v>
      </c>
      <c r="S182">
        <v>2022</v>
      </c>
      <c r="T182" t="s">
        <v>50</v>
      </c>
    </row>
    <row r="183" spans="1:20" x14ac:dyDescent="0.3">
      <c r="A183" t="s">
        <v>18</v>
      </c>
      <c r="B183">
        <v>91</v>
      </c>
      <c r="C183" t="s">
        <v>23</v>
      </c>
      <c r="D183">
        <v>24</v>
      </c>
      <c r="E183" s="20">
        <v>44673</v>
      </c>
      <c r="F183">
        <v>28</v>
      </c>
      <c r="G183">
        <v>56.3</v>
      </c>
      <c r="H183">
        <v>73</v>
      </c>
      <c r="I183">
        <v>3.5</v>
      </c>
      <c r="J183">
        <v>59.2</v>
      </c>
      <c r="K183">
        <v>55</v>
      </c>
      <c r="L183">
        <v>16</v>
      </c>
      <c r="M183" t="s">
        <v>20</v>
      </c>
      <c r="N183">
        <v>6</v>
      </c>
      <c r="O183" t="s">
        <v>21</v>
      </c>
      <c r="P183">
        <v>16.8</v>
      </c>
      <c r="Q183" t="s">
        <v>22</v>
      </c>
      <c r="R183">
        <v>21.5</v>
      </c>
      <c r="S183">
        <v>2022</v>
      </c>
      <c r="T183" t="s">
        <v>50</v>
      </c>
    </row>
    <row r="184" spans="1:20" x14ac:dyDescent="0.3">
      <c r="A184" t="s">
        <v>18</v>
      </c>
      <c r="B184">
        <v>91</v>
      </c>
      <c r="C184" t="s">
        <v>35</v>
      </c>
      <c r="D184">
        <v>8</v>
      </c>
      <c r="E184" s="20">
        <v>44674</v>
      </c>
      <c r="F184">
        <v>20</v>
      </c>
      <c r="G184">
        <v>58</v>
      </c>
      <c r="H184">
        <v>65</v>
      </c>
      <c r="I184">
        <v>3.9</v>
      </c>
      <c r="J184">
        <v>57.5</v>
      </c>
      <c r="K184">
        <v>49</v>
      </c>
      <c r="L184">
        <v>15.5</v>
      </c>
      <c r="M184" t="s">
        <v>20</v>
      </c>
      <c r="N184">
        <v>5.5</v>
      </c>
      <c r="O184" t="s">
        <v>21</v>
      </c>
      <c r="P184">
        <v>15.2</v>
      </c>
      <c r="Q184" t="s">
        <v>34</v>
      </c>
      <c r="R184">
        <v>20</v>
      </c>
      <c r="S184">
        <v>2022</v>
      </c>
      <c r="T184" t="s">
        <v>50</v>
      </c>
    </row>
    <row r="185" spans="1:20" x14ac:dyDescent="0.3">
      <c r="A185" t="s">
        <v>18</v>
      </c>
      <c r="B185">
        <v>91</v>
      </c>
      <c r="C185" t="s">
        <v>19</v>
      </c>
      <c r="D185">
        <v>58</v>
      </c>
      <c r="E185" s="20">
        <v>44690</v>
      </c>
      <c r="F185">
        <v>54</v>
      </c>
      <c r="G185">
        <v>55.5</v>
      </c>
      <c r="H185">
        <v>77</v>
      </c>
      <c r="I185">
        <v>4.0999999999999996</v>
      </c>
      <c r="J185">
        <v>0</v>
      </c>
      <c r="K185">
        <v>72</v>
      </c>
      <c r="L185">
        <v>17.3</v>
      </c>
      <c r="M185" t="s">
        <v>20</v>
      </c>
      <c r="N185">
        <v>6.5</v>
      </c>
      <c r="O185" t="s">
        <v>21</v>
      </c>
      <c r="P185">
        <v>18.2</v>
      </c>
      <c r="Q185" t="s">
        <v>22</v>
      </c>
      <c r="R185">
        <v>23</v>
      </c>
      <c r="S185">
        <v>2022</v>
      </c>
      <c r="T185" t="s">
        <v>51</v>
      </c>
    </row>
    <row r="186" spans="1:20" x14ac:dyDescent="0.3">
      <c r="A186" t="s">
        <v>18</v>
      </c>
      <c r="B186">
        <v>91</v>
      </c>
      <c r="C186" t="s">
        <v>23</v>
      </c>
      <c r="D186">
        <v>122</v>
      </c>
      <c r="E186" s="20">
        <v>44691</v>
      </c>
      <c r="F186">
        <v>26</v>
      </c>
      <c r="G186">
        <v>58</v>
      </c>
      <c r="H186">
        <v>70</v>
      </c>
      <c r="I186">
        <v>3.8</v>
      </c>
      <c r="J186">
        <v>58</v>
      </c>
      <c r="K186">
        <v>54</v>
      </c>
      <c r="L186">
        <v>15.5</v>
      </c>
      <c r="M186" t="s">
        <v>20</v>
      </c>
      <c r="N186">
        <v>5.8</v>
      </c>
      <c r="O186" t="s">
        <v>21</v>
      </c>
      <c r="P186">
        <v>15</v>
      </c>
      <c r="Q186" t="s">
        <v>22</v>
      </c>
      <c r="R186">
        <v>20</v>
      </c>
      <c r="S186">
        <v>2022</v>
      </c>
      <c r="T186" t="s">
        <v>51</v>
      </c>
    </row>
    <row r="187" spans="1:20" x14ac:dyDescent="0.3">
      <c r="A187" t="s">
        <v>18</v>
      </c>
      <c r="B187">
        <v>91</v>
      </c>
      <c r="C187" t="s">
        <v>19</v>
      </c>
      <c r="D187">
        <v>54</v>
      </c>
      <c r="E187" s="20">
        <v>44707</v>
      </c>
      <c r="F187">
        <v>52</v>
      </c>
      <c r="G187">
        <v>54</v>
      </c>
      <c r="H187">
        <v>77</v>
      </c>
      <c r="I187">
        <v>4.4000000000000004</v>
      </c>
      <c r="J187">
        <v>59</v>
      </c>
      <c r="K187">
        <v>73</v>
      </c>
      <c r="L187">
        <v>16</v>
      </c>
      <c r="M187" t="s">
        <v>20</v>
      </c>
      <c r="N187">
        <v>7</v>
      </c>
      <c r="O187" t="s">
        <v>21</v>
      </c>
      <c r="P187">
        <v>15</v>
      </c>
      <c r="Q187" t="s">
        <v>22</v>
      </c>
      <c r="R187">
        <v>22</v>
      </c>
      <c r="S187">
        <v>2022</v>
      </c>
      <c r="T187" t="s">
        <v>51</v>
      </c>
    </row>
    <row r="188" spans="1:20" x14ac:dyDescent="0.3">
      <c r="A188" t="s">
        <v>18</v>
      </c>
      <c r="B188">
        <v>91</v>
      </c>
      <c r="C188" t="s">
        <v>23</v>
      </c>
      <c r="D188">
        <v>2</v>
      </c>
      <c r="E188" s="20">
        <v>44708</v>
      </c>
      <c r="F188">
        <v>27</v>
      </c>
      <c r="G188">
        <v>56</v>
      </c>
      <c r="H188">
        <v>70</v>
      </c>
      <c r="I188">
        <v>3.8</v>
      </c>
      <c r="J188">
        <v>58</v>
      </c>
      <c r="K188">
        <v>58</v>
      </c>
      <c r="L188">
        <v>14</v>
      </c>
      <c r="M188" t="s">
        <v>20</v>
      </c>
      <c r="N188">
        <v>6</v>
      </c>
      <c r="O188" t="s">
        <v>21</v>
      </c>
      <c r="P188">
        <v>14</v>
      </c>
      <c r="Q188" t="s">
        <v>22</v>
      </c>
      <c r="R188">
        <v>21</v>
      </c>
      <c r="S188">
        <v>2022</v>
      </c>
      <c r="T188" t="s">
        <v>51</v>
      </c>
    </row>
    <row r="189" spans="1:20" x14ac:dyDescent="0.3">
      <c r="A189" t="s">
        <v>18</v>
      </c>
      <c r="B189">
        <v>91</v>
      </c>
      <c r="C189" t="s">
        <v>35</v>
      </c>
      <c r="D189">
        <v>7</v>
      </c>
      <c r="E189" s="20">
        <v>44709</v>
      </c>
      <c r="F189">
        <v>12</v>
      </c>
      <c r="G189">
        <v>58</v>
      </c>
      <c r="H189">
        <v>65</v>
      </c>
      <c r="I189">
        <v>3.4</v>
      </c>
      <c r="J189">
        <v>56</v>
      </c>
      <c r="K189">
        <v>45</v>
      </c>
      <c r="L189">
        <v>13</v>
      </c>
      <c r="M189" t="s">
        <v>20</v>
      </c>
      <c r="N189">
        <v>5.5</v>
      </c>
      <c r="O189" t="s">
        <v>21</v>
      </c>
      <c r="P189">
        <v>12</v>
      </c>
      <c r="Q189" t="s">
        <v>22</v>
      </c>
      <c r="R189">
        <v>19</v>
      </c>
      <c r="S189">
        <v>2022</v>
      </c>
      <c r="T189" t="s">
        <v>51</v>
      </c>
    </row>
    <row r="190" spans="1:20" x14ac:dyDescent="0.3">
      <c r="A190" t="s">
        <v>18</v>
      </c>
      <c r="B190">
        <v>91</v>
      </c>
      <c r="C190" t="s">
        <v>19</v>
      </c>
      <c r="D190">
        <v>55</v>
      </c>
      <c r="E190" s="20">
        <v>44719</v>
      </c>
      <c r="F190">
        <v>52</v>
      </c>
      <c r="G190">
        <v>54</v>
      </c>
      <c r="H190">
        <v>77</v>
      </c>
      <c r="I190">
        <v>4.4000000000000004</v>
      </c>
      <c r="J190">
        <v>59</v>
      </c>
      <c r="K190">
        <v>73</v>
      </c>
      <c r="L190">
        <v>16</v>
      </c>
      <c r="M190" t="s">
        <v>20</v>
      </c>
      <c r="N190">
        <v>7</v>
      </c>
      <c r="O190" t="s">
        <v>21</v>
      </c>
      <c r="P190">
        <v>15</v>
      </c>
      <c r="Q190" t="s">
        <v>22</v>
      </c>
      <c r="R190">
        <v>22</v>
      </c>
      <c r="S190">
        <v>2022</v>
      </c>
      <c r="T190" t="s">
        <v>52</v>
      </c>
    </row>
    <row r="191" spans="1:20" x14ac:dyDescent="0.3">
      <c r="A191" t="s">
        <v>18</v>
      </c>
      <c r="B191">
        <v>91</v>
      </c>
      <c r="C191" t="s">
        <v>23</v>
      </c>
      <c r="D191">
        <v>84</v>
      </c>
      <c r="E191" s="20">
        <v>44720</v>
      </c>
      <c r="F191">
        <v>27</v>
      </c>
      <c r="G191">
        <v>56</v>
      </c>
      <c r="H191">
        <v>70</v>
      </c>
      <c r="I191">
        <v>3.8</v>
      </c>
      <c r="J191">
        <v>58</v>
      </c>
      <c r="K191">
        <v>58</v>
      </c>
      <c r="L191">
        <v>14</v>
      </c>
      <c r="M191" t="s">
        <v>20</v>
      </c>
      <c r="N191">
        <v>6</v>
      </c>
      <c r="O191" t="s">
        <v>21</v>
      </c>
      <c r="P191">
        <v>14</v>
      </c>
      <c r="Q191" t="s">
        <v>22</v>
      </c>
      <c r="R191">
        <v>21</v>
      </c>
      <c r="S191">
        <v>2022</v>
      </c>
      <c r="T191" t="s">
        <v>52</v>
      </c>
    </row>
    <row r="192" spans="1:20" x14ac:dyDescent="0.3">
      <c r="A192" t="s">
        <v>18</v>
      </c>
      <c r="B192">
        <v>91</v>
      </c>
      <c r="C192" t="s">
        <v>35</v>
      </c>
      <c r="D192">
        <v>88</v>
      </c>
      <c r="E192" s="20">
        <v>44721</v>
      </c>
      <c r="F192">
        <v>12</v>
      </c>
      <c r="G192">
        <v>58</v>
      </c>
      <c r="H192">
        <v>65</v>
      </c>
      <c r="I192">
        <v>3.4</v>
      </c>
      <c r="J192">
        <v>5</v>
      </c>
      <c r="K192">
        <v>45</v>
      </c>
      <c r="L192">
        <v>13</v>
      </c>
      <c r="M192" t="s">
        <v>20</v>
      </c>
      <c r="N192">
        <v>5.5</v>
      </c>
      <c r="O192" t="s">
        <v>21</v>
      </c>
      <c r="P192">
        <v>12</v>
      </c>
      <c r="Q192" t="s">
        <v>22</v>
      </c>
      <c r="R192">
        <v>19</v>
      </c>
      <c r="S192">
        <v>2022</v>
      </c>
      <c r="T192" t="s">
        <v>52</v>
      </c>
    </row>
    <row r="193" spans="1:20" x14ac:dyDescent="0.3">
      <c r="A193" t="s">
        <v>18</v>
      </c>
      <c r="B193">
        <v>91</v>
      </c>
      <c r="C193" t="s">
        <v>19</v>
      </c>
      <c r="D193">
        <v>60</v>
      </c>
      <c r="E193" s="20">
        <v>44728</v>
      </c>
      <c r="F193">
        <v>47</v>
      </c>
      <c r="G193">
        <v>54.88</v>
      </c>
      <c r="H193">
        <v>77</v>
      </c>
      <c r="I193">
        <v>4.4000000000000004</v>
      </c>
      <c r="J193">
        <v>61.5</v>
      </c>
      <c r="K193">
        <v>76</v>
      </c>
      <c r="L193">
        <v>17.100000000000001</v>
      </c>
      <c r="M193" t="s">
        <v>20</v>
      </c>
      <c r="N193">
        <v>6.2</v>
      </c>
      <c r="O193" t="s">
        <v>21</v>
      </c>
      <c r="P193">
        <v>17.399999999999999</v>
      </c>
      <c r="Q193" t="s">
        <v>22</v>
      </c>
      <c r="R193">
        <v>22.2</v>
      </c>
      <c r="S193">
        <v>2022</v>
      </c>
      <c r="T193" t="s">
        <v>52</v>
      </c>
    </row>
    <row r="194" spans="1:20" x14ac:dyDescent="0.3">
      <c r="A194" t="s">
        <v>18</v>
      </c>
      <c r="B194">
        <v>91</v>
      </c>
      <c r="C194" t="s">
        <v>19</v>
      </c>
      <c r="D194">
        <v>157</v>
      </c>
      <c r="E194" s="20">
        <v>44733</v>
      </c>
      <c r="F194">
        <v>52</v>
      </c>
      <c r="G194">
        <v>54</v>
      </c>
      <c r="H194">
        <v>77</v>
      </c>
      <c r="I194">
        <v>4.5999999999999996</v>
      </c>
      <c r="J194">
        <v>58</v>
      </c>
      <c r="K194">
        <v>73</v>
      </c>
      <c r="L194">
        <v>17</v>
      </c>
      <c r="M194" t="s">
        <v>20</v>
      </c>
      <c r="N194">
        <v>8</v>
      </c>
      <c r="O194" t="s">
        <v>21</v>
      </c>
      <c r="P194">
        <v>16</v>
      </c>
      <c r="Q194" t="s">
        <v>22</v>
      </c>
      <c r="R194">
        <v>23</v>
      </c>
      <c r="S194">
        <v>2022</v>
      </c>
      <c r="T194" t="s">
        <v>52</v>
      </c>
    </row>
    <row r="195" spans="1:20" x14ac:dyDescent="0.3">
      <c r="A195" t="s">
        <v>18</v>
      </c>
      <c r="B195">
        <v>91</v>
      </c>
      <c r="C195" t="s">
        <v>19</v>
      </c>
      <c r="D195">
        <v>34</v>
      </c>
      <c r="E195" s="20">
        <v>44745</v>
      </c>
      <c r="F195">
        <v>9</v>
      </c>
      <c r="G195">
        <v>5.5</v>
      </c>
      <c r="H195">
        <v>76</v>
      </c>
      <c r="I195">
        <v>3.5</v>
      </c>
      <c r="J195">
        <v>48</v>
      </c>
      <c r="K195">
        <v>33</v>
      </c>
      <c r="L195">
        <v>6.5</v>
      </c>
      <c r="M195" t="s">
        <v>27</v>
      </c>
      <c r="N195">
        <v>22</v>
      </c>
      <c r="O195" t="s">
        <v>21</v>
      </c>
      <c r="P195">
        <v>15</v>
      </c>
      <c r="Q195" t="s">
        <v>22</v>
      </c>
      <c r="R195">
        <v>12</v>
      </c>
      <c r="S195">
        <v>2022</v>
      </c>
      <c r="T195" t="s">
        <v>53</v>
      </c>
    </row>
    <row r="196" spans="1:20" x14ac:dyDescent="0.3">
      <c r="A196" t="s">
        <v>18</v>
      </c>
      <c r="B196">
        <v>91</v>
      </c>
      <c r="C196" t="s">
        <v>19</v>
      </c>
      <c r="D196">
        <v>57</v>
      </c>
      <c r="E196" s="20">
        <v>44748</v>
      </c>
      <c r="F196">
        <v>53</v>
      </c>
      <c r="G196">
        <v>54</v>
      </c>
      <c r="H196">
        <v>77</v>
      </c>
      <c r="I196">
        <v>4.5999999999999996</v>
      </c>
      <c r="J196">
        <v>58</v>
      </c>
      <c r="K196">
        <v>73</v>
      </c>
      <c r="L196">
        <v>17</v>
      </c>
      <c r="M196" t="s">
        <v>20</v>
      </c>
      <c r="N196">
        <v>8</v>
      </c>
      <c r="O196" t="s">
        <v>21</v>
      </c>
      <c r="P196">
        <v>16</v>
      </c>
      <c r="Q196" t="s">
        <v>22</v>
      </c>
      <c r="R196">
        <v>23</v>
      </c>
      <c r="S196">
        <v>2022</v>
      </c>
      <c r="T196" t="s">
        <v>53</v>
      </c>
    </row>
    <row r="197" spans="1:20" x14ac:dyDescent="0.3">
      <c r="A197" t="s">
        <v>18</v>
      </c>
      <c r="B197">
        <v>91</v>
      </c>
      <c r="C197" t="s">
        <v>23</v>
      </c>
      <c r="D197">
        <v>156</v>
      </c>
      <c r="E197" s="20">
        <v>44749</v>
      </c>
      <c r="F197">
        <v>30</v>
      </c>
      <c r="G197">
        <v>56</v>
      </c>
      <c r="H197">
        <v>72</v>
      </c>
      <c r="I197">
        <v>3.9</v>
      </c>
      <c r="J197">
        <v>57</v>
      </c>
      <c r="K197">
        <v>62</v>
      </c>
      <c r="L197">
        <v>15.5</v>
      </c>
      <c r="M197" t="s">
        <v>20</v>
      </c>
      <c r="N197">
        <v>7.5</v>
      </c>
      <c r="O197" t="s">
        <v>21</v>
      </c>
      <c r="P197">
        <v>15</v>
      </c>
      <c r="Q197" t="s">
        <v>22</v>
      </c>
      <c r="R197">
        <v>21.5</v>
      </c>
      <c r="S197">
        <v>2022</v>
      </c>
      <c r="T197" t="s">
        <v>53</v>
      </c>
    </row>
    <row r="198" spans="1:20" x14ac:dyDescent="0.3">
      <c r="A198" t="s">
        <v>18</v>
      </c>
      <c r="B198">
        <v>91</v>
      </c>
      <c r="C198" t="s">
        <v>35</v>
      </c>
      <c r="D198">
        <v>22</v>
      </c>
      <c r="E198" s="20">
        <v>44750</v>
      </c>
      <c r="F198">
        <v>12</v>
      </c>
      <c r="G198">
        <v>58</v>
      </c>
      <c r="H198">
        <v>67</v>
      </c>
      <c r="I198">
        <v>3.3</v>
      </c>
      <c r="J198">
        <v>15</v>
      </c>
      <c r="K198">
        <v>46</v>
      </c>
      <c r="L198">
        <v>14</v>
      </c>
      <c r="M198" t="s">
        <v>20</v>
      </c>
      <c r="N198">
        <v>6</v>
      </c>
      <c r="O198" t="s">
        <v>21</v>
      </c>
      <c r="P198">
        <v>13.5</v>
      </c>
      <c r="Q198" t="s">
        <v>22</v>
      </c>
      <c r="R198">
        <v>20</v>
      </c>
      <c r="S198">
        <v>2022</v>
      </c>
      <c r="T198" t="s">
        <v>53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8E6BE-0B90-451C-AEFD-534F56439346}">
  <sheetPr codeName="Sheet3"/>
  <dimension ref="A1:T198"/>
  <sheetViews>
    <sheetView topLeftCell="A67" workbookViewId="0">
      <selection activeCell="A3" sqref="A3:T198"/>
    </sheetView>
  </sheetViews>
  <sheetFormatPr defaultRowHeight="14.4" x14ac:dyDescent="0.3"/>
  <cols>
    <col min="1" max="1" width="20.6640625" bestFit="1" customWidth="1"/>
    <col min="2" max="2" width="17.88671875" bestFit="1" customWidth="1"/>
    <col min="3" max="3" width="13.88671875" bestFit="1" customWidth="1"/>
    <col min="4" max="4" width="15.109375" bestFit="1" customWidth="1"/>
    <col min="5" max="5" width="13.88671875" bestFit="1" customWidth="1"/>
    <col min="6" max="6" width="22" bestFit="1" customWidth="1"/>
    <col min="7" max="7" width="16.6640625" bestFit="1" customWidth="1"/>
    <col min="8" max="8" width="28.44140625" bestFit="1" customWidth="1"/>
    <col min="9" max="9" width="16.5546875" bestFit="1" customWidth="1"/>
    <col min="10" max="10" width="14.5546875" bestFit="1" customWidth="1"/>
    <col min="11" max="11" width="18.33203125" bestFit="1" customWidth="1"/>
    <col min="12" max="12" width="25.33203125" bestFit="1" customWidth="1"/>
    <col min="13" max="13" width="11.44140625" bestFit="1" customWidth="1"/>
    <col min="14" max="14" width="25.5546875" bestFit="1" customWidth="1"/>
    <col min="15" max="15" width="18.109375" bestFit="1" customWidth="1"/>
    <col min="16" max="16" width="27" bestFit="1" customWidth="1"/>
    <col min="17" max="17" width="13.33203125" bestFit="1" customWidth="1"/>
    <col min="18" max="18" width="22.109375" bestFit="1" customWidth="1"/>
    <col min="19" max="20" width="9.33203125" bestFit="1" customWidth="1"/>
  </cols>
  <sheetData>
    <row r="1" spans="1:20" x14ac:dyDescent="0.3">
      <c r="A1" s="21" t="s">
        <v>58</v>
      </c>
    </row>
    <row r="3" spans="1:20"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36</v>
      </c>
      <c r="T3" t="s">
        <v>37</v>
      </c>
    </row>
    <row r="4" spans="1:20" x14ac:dyDescent="0.3">
      <c r="A4" t="s">
        <v>28</v>
      </c>
      <c r="B4">
        <v>68</v>
      </c>
      <c r="C4" t="s">
        <v>19</v>
      </c>
      <c r="D4">
        <v>155</v>
      </c>
      <c r="E4" s="20">
        <v>44576</v>
      </c>
      <c r="F4">
        <v>15</v>
      </c>
      <c r="G4">
        <v>90</v>
      </c>
      <c r="H4">
        <v>54</v>
      </c>
      <c r="I4">
        <v>3.4</v>
      </c>
      <c r="J4">
        <v>67.8</v>
      </c>
      <c r="K4">
        <v>34</v>
      </c>
      <c r="L4">
        <v>11</v>
      </c>
      <c r="M4" t="s">
        <v>20</v>
      </c>
      <c r="N4">
        <v>5.3</v>
      </c>
      <c r="O4" t="s">
        <v>29</v>
      </c>
      <c r="P4">
        <v>20.5</v>
      </c>
      <c r="Q4" t="s">
        <v>25</v>
      </c>
      <c r="R4">
        <v>19.5</v>
      </c>
      <c r="S4">
        <v>2022</v>
      </c>
      <c r="T4" t="s">
        <v>47</v>
      </c>
    </row>
    <row r="5" spans="1:20" x14ac:dyDescent="0.3">
      <c r="A5" t="s">
        <v>28</v>
      </c>
      <c r="B5">
        <v>68</v>
      </c>
      <c r="C5" t="s">
        <v>23</v>
      </c>
      <c r="D5">
        <v>28</v>
      </c>
      <c r="E5" s="20">
        <v>44577</v>
      </c>
      <c r="F5">
        <v>10</v>
      </c>
      <c r="G5">
        <v>88</v>
      </c>
      <c r="H5">
        <v>50</v>
      </c>
      <c r="I5">
        <v>3</v>
      </c>
      <c r="J5">
        <v>4</v>
      </c>
      <c r="K5">
        <v>28</v>
      </c>
      <c r="L5">
        <v>10.199999999999999</v>
      </c>
      <c r="M5" t="s">
        <v>20</v>
      </c>
      <c r="N5">
        <v>4.8</v>
      </c>
      <c r="O5" t="s">
        <v>29</v>
      </c>
      <c r="P5">
        <v>19.7</v>
      </c>
      <c r="Q5" t="s">
        <v>25</v>
      </c>
      <c r="R5">
        <v>18</v>
      </c>
      <c r="S5">
        <v>2022</v>
      </c>
      <c r="T5" t="s">
        <v>47</v>
      </c>
    </row>
    <row r="6" spans="1:20" x14ac:dyDescent="0.3">
      <c r="A6" t="s">
        <v>28</v>
      </c>
      <c r="B6">
        <v>68</v>
      </c>
      <c r="C6" t="s">
        <v>19</v>
      </c>
      <c r="D6">
        <v>150</v>
      </c>
      <c r="E6" s="20">
        <v>44588</v>
      </c>
      <c r="F6">
        <v>13</v>
      </c>
      <c r="G6">
        <v>90</v>
      </c>
      <c r="H6">
        <v>54</v>
      </c>
      <c r="I6">
        <v>3.5</v>
      </c>
      <c r="J6">
        <v>67.8</v>
      </c>
      <c r="K6">
        <v>33</v>
      </c>
      <c r="L6">
        <v>11</v>
      </c>
      <c r="M6" t="s">
        <v>20</v>
      </c>
      <c r="N6">
        <v>5.3</v>
      </c>
      <c r="O6" t="s">
        <v>29</v>
      </c>
      <c r="P6">
        <v>20.5</v>
      </c>
      <c r="Q6" t="s">
        <v>25</v>
      </c>
      <c r="R6">
        <v>19.5</v>
      </c>
      <c r="S6">
        <v>2022</v>
      </c>
      <c r="T6" t="s">
        <v>47</v>
      </c>
    </row>
    <row r="7" spans="1:20" x14ac:dyDescent="0.3">
      <c r="A7" t="s">
        <v>28</v>
      </c>
      <c r="B7">
        <v>68</v>
      </c>
      <c r="C7" t="s">
        <v>23</v>
      </c>
      <c r="D7">
        <v>30</v>
      </c>
      <c r="E7" s="20">
        <v>44589</v>
      </c>
      <c r="F7">
        <v>11</v>
      </c>
      <c r="G7">
        <v>88</v>
      </c>
      <c r="H7">
        <v>50</v>
      </c>
      <c r="I7">
        <v>3.2</v>
      </c>
      <c r="J7">
        <v>64</v>
      </c>
      <c r="K7">
        <v>28</v>
      </c>
      <c r="L7">
        <v>10.199999999999999</v>
      </c>
      <c r="M7" t="s">
        <v>20</v>
      </c>
      <c r="N7">
        <v>4.8</v>
      </c>
      <c r="O7" t="s">
        <v>29</v>
      </c>
      <c r="P7">
        <v>19.7</v>
      </c>
      <c r="Q7" t="s">
        <v>25</v>
      </c>
      <c r="R7">
        <v>18</v>
      </c>
      <c r="S7">
        <v>2022</v>
      </c>
      <c r="T7" t="s">
        <v>47</v>
      </c>
    </row>
    <row r="8" spans="1:20" x14ac:dyDescent="0.3">
      <c r="A8" t="s">
        <v>28</v>
      </c>
      <c r="B8">
        <v>68</v>
      </c>
      <c r="C8" t="s">
        <v>19</v>
      </c>
      <c r="D8">
        <v>439</v>
      </c>
      <c r="E8" s="20">
        <v>44600</v>
      </c>
      <c r="F8">
        <v>11</v>
      </c>
      <c r="G8">
        <v>90</v>
      </c>
      <c r="H8">
        <v>54</v>
      </c>
      <c r="I8">
        <v>3.3</v>
      </c>
      <c r="J8">
        <v>7.8</v>
      </c>
      <c r="K8">
        <v>33</v>
      </c>
      <c r="L8">
        <v>11</v>
      </c>
      <c r="M8" t="s">
        <v>20</v>
      </c>
      <c r="N8">
        <v>5.3</v>
      </c>
      <c r="O8" t="s">
        <v>29</v>
      </c>
      <c r="P8">
        <v>20.5</v>
      </c>
      <c r="Q8" t="s">
        <v>25</v>
      </c>
      <c r="R8">
        <v>19.5</v>
      </c>
      <c r="S8">
        <v>2022</v>
      </c>
      <c r="T8" t="s">
        <v>48</v>
      </c>
    </row>
    <row r="9" spans="1:20" x14ac:dyDescent="0.3">
      <c r="A9" t="s">
        <v>28</v>
      </c>
      <c r="B9">
        <v>68</v>
      </c>
      <c r="C9" t="s">
        <v>23</v>
      </c>
      <c r="D9">
        <v>350</v>
      </c>
      <c r="E9" s="20">
        <v>44601</v>
      </c>
      <c r="F9">
        <v>9</v>
      </c>
      <c r="G9">
        <v>88</v>
      </c>
      <c r="H9">
        <v>50</v>
      </c>
      <c r="I9">
        <v>3.1</v>
      </c>
      <c r="J9">
        <v>64</v>
      </c>
      <c r="K9">
        <v>29</v>
      </c>
      <c r="L9">
        <v>10.199999999999999</v>
      </c>
      <c r="M9" t="s">
        <v>20</v>
      </c>
      <c r="N9">
        <v>4.8</v>
      </c>
      <c r="O9" t="s">
        <v>29</v>
      </c>
      <c r="P9">
        <v>19.7</v>
      </c>
      <c r="Q9" t="s">
        <v>25</v>
      </c>
      <c r="R9">
        <v>18</v>
      </c>
      <c r="S9">
        <v>2022</v>
      </c>
      <c r="T9" t="s">
        <v>48</v>
      </c>
    </row>
    <row r="10" spans="1:20" x14ac:dyDescent="0.3">
      <c r="A10" t="s">
        <v>28</v>
      </c>
      <c r="B10">
        <v>68</v>
      </c>
      <c r="C10" t="s">
        <v>19</v>
      </c>
      <c r="D10">
        <v>43</v>
      </c>
      <c r="E10" s="20">
        <v>44612</v>
      </c>
      <c r="F10">
        <v>11</v>
      </c>
      <c r="G10">
        <v>90</v>
      </c>
      <c r="H10">
        <v>54</v>
      </c>
      <c r="I10">
        <v>3.3</v>
      </c>
      <c r="J10">
        <v>7.8</v>
      </c>
      <c r="K10">
        <v>33</v>
      </c>
      <c r="L10">
        <v>11</v>
      </c>
      <c r="M10" t="s">
        <v>20</v>
      </c>
      <c r="N10">
        <v>5.3</v>
      </c>
      <c r="O10" t="s">
        <v>29</v>
      </c>
      <c r="P10">
        <v>20.5</v>
      </c>
      <c r="Q10" t="s">
        <v>25</v>
      </c>
      <c r="R10">
        <v>19.5</v>
      </c>
      <c r="S10">
        <v>2022</v>
      </c>
      <c r="T10" t="s">
        <v>48</v>
      </c>
    </row>
    <row r="11" spans="1:20" x14ac:dyDescent="0.3">
      <c r="A11" t="s">
        <v>28</v>
      </c>
      <c r="B11">
        <v>68</v>
      </c>
      <c r="C11" t="s">
        <v>23</v>
      </c>
      <c r="D11">
        <v>35</v>
      </c>
      <c r="E11" s="20">
        <v>44613</v>
      </c>
      <c r="F11">
        <v>9</v>
      </c>
      <c r="G11">
        <v>88</v>
      </c>
      <c r="H11">
        <v>50</v>
      </c>
      <c r="I11">
        <v>3.1</v>
      </c>
      <c r="J11">
        <v>4</v>
      </c>
      <c r="K11">
        <v>29</v>
      </c>
      <c r="L11">
        <v>10.199999999999999</v>
      </c>
      <c r="M11" t="s">
        <v>20</v>
      </c>
      <c r="N11">
        <v>4.8</v>
      </c>
      <c r="O11" t="s">
        <v>29</v>
      </c>
      <c r="P11">
        <v>19.7</v>
      </c>
      <c r="Q11" t="s">
        <v>25</v>
      </c>
      <c r="R11">
        <v>18</v>
      </c>
      <c r="S11">
        <v>2022</v>
      </c>
      <c r="T11" t="s">
        <v>48</v>
      </c>
    </row>
    <row r="12" spans="1:20" x14ac:dyDescent="0.3">
      <c r="A12" t="s">
        <v>28</v>
      </c>
      <c r="B12">
        <v>68</v>
      </c>
      <c r="C12" t="s">
        <v>19</v>
      </c>
      <c r="D12">
        <v>143</v>
      </c>
      <c r="E12" s="20">
        <v>44624</v>
      </c>
      <c r="F12">
        <v>11</v>
      </c>
      <c r="G12">
        <v>90</v>
      </c>
      <c r="H12">
        <v>54</v>
      </c>
      <c r="I12">
        <v>3.3</v>
      </c>
      <c r="J12">
        <v>67.8</v>
      </c>
      <c r="K12">
        <v>33</v>
      </c>
      <c r="L12">
        <v>11</v>
      </c>
      <c r="M12" t="s">
        <v>20</v>
      </c>
      <c r="N12">
        <v>5.3</v>
      </c>
      <c r="O12" t="s">
        <v>29</v>
      </c>
      <c r="P12">
        <v>20.5</v>
      </c>
      <c r="Q12" t="s">
        <v>25</v>
      </c>
      <c r="R12">
        <v>19.5</v>
      </c>
      <c r="S12">
        <v>2022</v>
      </c>
      <c r="T12" t="s">
        <v>49</v>
      </c>
    </row>
    <row r="13" spans="1:20" x14ac:dyDescent="0.3">
      <c r="A13" t="s">
        <v>28</v>
      </c>
      <c r="B13">
        <v>68</v>
      </c>
      <c r="C13" t="s">
        <v>23</v>
      </c>
      <c r="D13">
        <v>35</v>
      </c>
      <c r="E13" s="20">
        <v>44625</v>
      </c>
      <c r="F13">
        <v>9</v>
      </c>
      <c r="G13">
        <v>88</v>
      </c>
      <c r="H13">
        <v>50</v>
      </c>
      <c r="I13">
        <v>3.1</v>
      </c>
      <c r="J13">
        <v>64</v>
      </c>
      <c r="K13">
        <v>29</v>
      </c>
      <c r="L13">
        <v>10.199999999999999</v>
      </c>
      <c r="M13" t="s">
        <v>20</v>
      </c>
      <c r="N13">
        <v>4.8</v>
      </c>
      <c r="O13" t="s">
        <v>29</v>
      </c>
      <c r="P13">
        <v>19.7</v>
      </c>
      <c r="Q13" t="s">
        <v>25</v>
      </c>
      <c r="R13">
        <v>18</v>
      </c>
      <c r="S13">
        <v>2022</v>
      </c>
      <c r="T13" t="s">
        <v>49</v>
      </c>
    </row>
    <row r="14" spans="1:20" x14ac:dyDescent="0.3">
      <c r="A14" t="s">
        <v>28</v>
      </c>
      <c r="B14">
        <v>68</v>
      </c>
      <c r="C14" t="s">
        <v>19</v>
      </c>
      <c r="D14">
        <v>60</v>
      </c>
      <c r="E14" s="20">
        <v>44636</v>
      </c>
      <c r="F14">
        <v>16</v>
      </c>
      <c r="G14">
        <v>90</v>
      </c>
      <c r="H14">
        <v>54</v>
      </c>
      <c r="I14">
        <v>3.5</v>
      </c>
      <c r="J14">
        <v>67.8</v>
      </c>
      <c r="K14">
        <v>34</v>
      </c>
      <c r="L14">
        <v>11</v>
      </c>
      <c r="M14" t="s">
        <v>20</v>
      </c>
      <c r="N14">
        <v>5.3</v>
      </c>
      <c r="O14" t="s">
        <v>29</v>
      </c>
      <c r="P14">
        <v>20.5</v>
      </c>
      <c r="Q14" t="s">
        <v>25</v>
      </c>
      <c r="R14">
        <v>19.5</v>
      </c>
      <c r="S14">
        <v>2022</v>
      </c>
      <c r="T14" t="s">
        <v>49</v>
      </c>
    </row>
    <row r="15" spans="1:20" x14ac:dyDescent="0.3">
      <c r="A15" t="s">
        <v>28</v>
      </c>
      <c r="B15">
        <v>68</v>
      </c>
      <c r="C15" t="s">
        <v>23</v>
      </c>
      <c r="D15">
        <v>333</v>
      </c>
      <c r="E15" s="20">
        <v>44637</v>
      </c>
      <c r="F15">
        <v>12</v>
      </c>
      <c r="G15">
        <v>88</v>
      </c>
      <c r="H15">
        <v>50</v>
      </c>
      <c r="I15">
        <v>3.2</v>
      </c>
      <c r="J15">
        <v>64</v>
      </c>
      <c r="K15">
        <v>29</v>
      </c>
      <c r="L15">
        <v>10.199999999999999</v>
      </c>
      <c r="M15" t="s">
        <v>20</v>
      </c>
      <c r="N15">
        <v>4.8</v>
      </c>
      <c r="O15" t="s">
        <v>29</v>
      </c>
      <c r="P15">
        <v>19.7</v>
      </c>
      <c r="Q15" t="s">
        <v>25</v>
      </c>
      <c r="R15">
        <v>18</v>
      </c>
      <c r="S15">
        <v>2022</v>
      </c>
      <c r="T15" t="s">
        <v>49</v>
      </c>
    </row>
    <row r="16" spans="1:20" x14ac:dyDescent="0.3">
      <c r="A16" t="s">
        <v>28</v>
      </c>
      <c r="B16">
        <v>68</v>
      </c>
      <c r="C16" t="s">
        <v>19</v>
      </c>
      <c r="D16">
        <v>160</v>
      </c>
      <c r="E16" s="20">
        <v>44648</v>
      </c>
      <c r="F16">
        <v>16</v>
      </c>
      <c r="G16">
        <v>90</v>
      </c>
      <c r="H16">
        <v>54</v>
      </c>
      <c r="I16">
        <v>3.5</v>
      </c>
      <c r="J16">
        <v>67.8</v>
      </c>
      <c r="K16">
        <v>34</v>
      </c>
      <c r="L16">
        <v>11</v>
      </c>
      <c r="M16" t="s">
        <v>20</v>
      </c>
      <c r="N16">
        <v>5.3</v>
      </c>
      <c r="O16" t="s">
        <v>29</v>
      </c>
      <c r="P16">
        <v>20.5</v>
      </c>
      <c r="Q16" t="s">
        <v>25</v>
      </c>
      <c r="R16">
        <v>19.5</v>
      </c>
      <c r="S16">
        <v>2022</v>
      </c>
      <c r="T16" t="s">
        <v>49</v>
      </c>
    </row>
    <row r="17" spans="1:20" x14ac:dyDescent="0.3">
      <c r="A17" t="s">
        <v>28</v>
      </c>
      <c r="B17">
        <v>68</v>
      </c>
      <c r="C17" t="s">
        <v>23</v>
      </c>
      <c r="D17">
        <v>3</v>
      </c>
      <c r="E17" s="20">
        <v>44649</v>
      </c>
      <c r="F17">
        <v>12</v>
      </c>
      <c r="G17">
        <v>88</v>
      </c>
      <c r="H17">
        <v>50</v>
      </c>
      <c r="I17">
        <v>3.2</v>
      </c>
      <c r="J17">
        <v>4</v>
      </c>
      <c r="K17">
        <v>29</v>
      </c>
      <c r="L17">
        <v>10.199999999999999</v>
      </c>
      <c r="M17" t="s">
        <v>20</v>
      </c>
      <c r="N17">
        <v>4.8</v>
      </c>
      <c r="O17" t="s">
        <v>29</v>
      </c>
      <c r="P17">
        <v>19.7</v>
      </c>
      <c r="Q17" t="s">
        <v>25</v>
      </c>
      <c r="R17">
        <v>18</v>
      </c>
      <c r="S17">
        <v>2022</v>
      </c>
      <c r="T17" t="s">
        <v>49</v>
      </c>
    </row>
    <row r="18" spans="1:20" x14ac:dyDescent="0.3">
      <c r="A18" t="s">
        <v>28</v>
      </c>
      <c r="B18">
        <v>68</v>
      </c>
      <c r="C18" t="s">
        <v>19</v>
      </c>
      <c r="D18">
        <v>61</v>
      </c>
      <c r="E18" s="20">
        <v>44660</v>
      </c>
      <c r="F18">
        <v>14</v>
      </c>
      <c r="G18">
        <v>91.5</v>
      </c>
      <c r="H18">
        <v>55</v>
      </c>
      <c r="I18">
        <v>3.6</v>
      </c>
      <c r="J18">
        <v>68</v>
      </c>
      <c r="K18">
        <v>35</v>
      </c>
      <c r="L18">
        <v>12</v>
      </c>
      <c r="M18" t="s">
        <v>20</v>
      </c>
      <c r="N18">
        <v>5</v>
      </c>
      <c r="O18" t="s">
        <v>29</v>
      </c>
      <c r="P18">
        <v>18</v>
      </c>
      <c r="Q18" t="s">
        <v>25</v>
      </c>
      <c r="R18">
        <v>19</v>
      </c>
      <c r="S18">
        <v>2022</v>
      </c>
      <c r="T18" t="s">
        <v>50</v>
      </c>
    </row>
    <row r="19" spans="1:20" x14ac:dyDescent="0.3">
      <c r="A19" t="s">
        <v>28</v>
      </c>
      <c r="B19">
        <v>68</v>
      </c>
      <c r="C19" t="s">
        <v>23</v>
      </c>
      <c r="D19">
        <v>130</v>
      </c>
      <c r="E19" s="20">
        <v>44661</v>
      </c>
      <c r="F19">
        <v>11</v>
      </c>
      <c r="G19">
        <v>89</v>
      </c>
      <c r="H19">
        <v>53</v>
      </c>
      <c r="I19">
        <v>3</v>
      </c>
      <c r="J19">
        <v>65</v>
      </c>
      <c r="K19">
        <v>28</v>
      </c>
      <c r="L19">
        <v>10</v>
      </c>
      <c r="M19" t="s">
        <v>20</v>
      </c>
      <c r="N19">
        <v>4.5</v>
      </c>
      <c r="O19" t="s">
        <v>29</v>
      </c>
      <c r="P19">
        <v>16</v>
      </c>
      <c r="Q19" t="s">
        <v>25</v>
      </c>
      <c r="R19">
        <v>17</v>
      </c>
      <c r="S19">
        <v>2022</v>
      </c>
      <c r="T19" t="s">
        <v>50</v>
      </c>
    </row>
    <row r="20" spans="1:20" x14ac:dyDescent="0.3">
      <c r="A20" t="s">
        <v>28</v>
      </c>
      <c r="B20">
        <v>68</v>
      </c>
      <c r="C20" t="s">
        <v>19</v>
      </c>
      <c r="D20">
        <v>60</v>
      </c>
      <c r="E20" s="20">
        <v>44681</v>
      </c>
      <c r="F20">
        <v>16</v>
      </c>
      <c r="G20">
        <v>90</v>
      </c>
      <c r="H20">
        <v>54</v>
      </c>
      <c r="I20">
        <v>3.5</v>
      </c>
      <c r="J20">
        <v>7.8</v>
      </c>
      <c r="K20">
        <v>34</v>
      </c>
      <c r="L20">
        <v>11</v>
      </c>
      <c r="M20" t="s">
        <v>20</v>
      </c>
      <c r="N20">
        <v>5.3</v>
      </c>
      <c r="O20" t="s">
        <v>29</v>
      </c>
      <c r="P20">
        <v>20.5</v>
      </c>
      <c r="Q20" t="s">
        <v>25</v>
      </c>
      <c r="R20">
        <v>19.5</v>
      </c>
      <c r="S20">
        <v>2022</v>
      </c>
      <c r="T20" t="s">
        <v>50</v>
      </c>
    </row>
    <row r="21" spans="1:20" x14ac:dyDescent="0.3">
      <c r="A21" t="s">
        <v>28</v>
      </c>
      <c r="B21">
        <v>68</v>
      </c>
      <c r="C21" t="s">
        <v>23</v>
      </c>
      <c r="D21">
        <v>3</v>
      </c>
      <c r="E21" s="20">
        <v>44682</v>
      </c>
      <c r="F21">
        <v>12</v>
      </c>
      <c r="G21">
        <v>88</v>
      </c>
      <c r="H21">
        <v>50</v>
      </c>
      <c r="I21">
        <v>3.2</v>
      </c>
      <c r="J21">
        <v>6</v>
      </c>
      <c r="K21">
        <v>29</v>
      </c>
      <c r="L21">
        <v>10.199999999999999</v>
      </c>
      <c r="M21" t="s">
        <v>20</v>
      </c>
      <c r="N21">
        <v>4.8</v>
      </c>
      <c r="O21" t="s">
        <v>29</v>
      </c>
      <c r="P21">
        <v>19.7</v>
      </c>
      <c r="Q21" t="s">
        <v>25</v>
      </c>
      <c r="R21">
        <v>18</v>
      </c>
      <c r="S21">
        <v>2022</v>
      </c>
      <c r="T21" t="s">
        <v>51</v>
      </c>
    </row>
    <row r="22" spans="1:20" x14ac:dyDescent="0.3">
      <c r="A22" t="s">
        <v>28</v>
      </c>
      <c r="B22">
        <v>68</v>
      </c>
      <c r="C22" t="s">
        <v>35</v>
      </c>
      <c r="D22">
        <v>5</v>
      </c>
      <c r="E22" s="20">
        <v>44683</v>
      </c>
      <c r="F22">
        <v>10</v>
      </c>
      <c r="G22">
        <v>89</v>
      </c>
      <c r="H22">
        <v>45</v>
      </c>
      <c r="I22">
        <v>3</v>
      </c>
      <c r="J22">
        <v>6</v>
      </c>
      <c r="K22">
        <v>60</v>
      </c>
      <c r="L22">
        <v>9.5</v>
      </c>
      <c r="M22" t="s">
        <v>20</v>
      </c>
      <c r="N22">
        <v>4</v>
      </c>
      <c r="O22" t="s">
        <v>29</v>
      </c>
      <c r="P22">
        <v>18</v>
      </c>
      <c r="Q22" t="s">
        <v>25</v>
      </c>
      <c r="R22">
        <v>16</v>
      </c>
      <c r="S22">
        <v>2022</v>
      </c>
      <c r="T22" t="s">
        <v>51</v>
      </c>
    </row>
    <row r="23" spans="1:20" x14ac:dyDescent="0.3">
      <c r="A23" t="s">
        <v>28</v>
      </c>
      <c r="B23">
        <v>68</v>
      </c>
      <c r="C23" t="s">
        <v>19</v>
      </c>
      <c r="D23">
        <v>6</v>
      </c>
      <c r="E23" s="20">
        <v>44698</v>
      </c>
      <c r="F23">
        <v>14</v>
      </c>
      <c r="G23">
        <v>91.5</v>
      </c>
      <c r="H23">
        <v>55</v>
      </c>
      <c r="I23">
        <v>3.6</v>
      </c>
      <c r="J23">
        <v>8</v>
      </c>
      <c r="K23">
        <v>35</v>
      </c>
      <c r="L23">
        <v>12</v>
      </c>
      <c r="M23" t="s">
        <v>20</v>
      </c>
      <c r="N23">
        <v>5</v>
      </c>
      <c r="O23" t="s">
        <v>29</v>
      </c>
      <c r="P23">
        <v>18</v>
      </c>
      <c r="Q23" t="s">
        <v>25</v>
      </c>
      <c r="R23">
        <v>19</v>
      </c>
      <c r="S23">
        <v>2022</v>
      </c>
      <c r="T23" t="s">
        <v>51</v>
      </c>
    </row>
    <row r="24" spans="1:20" x14ac:dyDescent="0.3">
      <c r="A24" t="s">
        <v>28</v>
      </c>
      <c r="B24">
        <v>68</v>
      </c>
      <c r="C24" t="s">
        <v>23</v>
      </c>
      <c r="D24">
        <v>30</v>
      </c>
      <c r="E24" s="20">
        <v>44699</v>
      </c>
      <c r="F24">
        <v>11</v>
      </c>
      <c r="G24">
        <v>89</v>
      </c>
      <c r="H24">
        <v>53</v>
      </c>
      <c r="I24">
        <v>3</v>
      </c>
      <c r="J24">
        <v>6</v>
      </c>
      <c r="K24">
        <v>28</v>
      </c>
      <c r="L24">
        <v>10</v>
      </c>
      <c r="M24" t="s">
        <v>20</v>
      </c>
      <c r="N24">
        <v>4.5</v>
      </c>
      <c r="O24" t="s">
        <v>29</v>
      </c>
      <c r="P24">
        <v>16</v>
      </c>
      <c r="Q24" t="s">
        <v>25</v>
      </c>
      <c r="R24">
        <v>17</v>
      </c>
      <c r="S24">
        <v>2022</v>
      </c>
      <c r="T24" t="s">
        <v>51</v>
      </c>
    </row>
    <row r="25" spans="1:20" x14ac:dyDescent="0.3">
      <c r="A25" t="s">
        <v>28</v>
      </c>
      <c r="B25">
        <v>68</v>
      </c>
      <c r="C25" t="s">
        <v>35</v>
      </c>
      <c r="D25">
        <v>0</v>
      </c>
      <c r="E25" s="20">
        <v>44700</v>
      </c>
      <c r="F25">
        <v>9</v>
      </c>
      <c r="G25">
        <v>88</v>
      </c>
      <c r="H25">
        <v>45</v>
      </c>
      <c r="I25">
        <v>2.8</v>
      </c>
      <c r="J25">
        <v>63</v>
      </c>
      <c r="K25">
        <v>45</v>
      </c>
      <c r="L25">
        <v>9</v>
      </c>
      <c r="M25" t="s">
        <v>20</v>
      </c>
      <c r="N25">
        <v>4</v>
      </c>
      <c r="O25" t="s">
        <v>29</v>
      </c>
      <c r="P25">
        <v>15</v>
      </c>
      <c r="Q25" t="s">
        <v>25</v>
      </c>
      <c r="R25">
        <v>16</v>
      </c>
      <c r="S25">
        <v>2022</v>
      </c>
      <c r="T25" t="s">
        <v>51</v>
      </c>
    </row>
    <row r="26" spans="1:20" x14ac:dyDescent="0.3">
      <c r="A26" t="s">
        <v>28</v>
      </c>
      <c r="B26">
        <v>68</v>
      </c>
      <c r="C26" t="s">
        <v>23</v>
      </c>
      <c r="D26">
        <v>64</v>
      </c>
      <c r="E26" s="20">
        <v>44731</v>
      </c>
      <c r="F26">
        <v>11</v>
      </c>
      <c r="G26">
        <v>90</v>
      </c>
      <c r="H26">
        <v>54</v>
      </c>
      <c r="I26">
        <v>3.3</v>
      </c>
      <c r="J26">
        <v>7.8</v>
      </c>
      <c r="K26">
        <v>38</v>
      </c>
      <c r="L26">
        <v>11</v>
      </c>
      <c r="M26" t="s">
        <v>20</v>
      </c>
      <c r="N26">
        <v>5.3</v>
      </c>
      <c r="O26" t="s">
        <v>29</v>
      </c>
      <c r="P26">
        <v>20.5</v>
      </c>
      <c r="Q26" t="s">
        <v>25</v>
      </c>
      <c r="R26">
        <v>19.5</v>
      </c>
      <c r="S26">
        <v>2022</v>
      </c>
      <c r="T26" t="s">
        <v>52</v>
      </c>
    </row>
    <row r="27" spans="1:20" x14ac:dyDescent="0.3">
      <c r="A27" t="s">
        <v>28</v>
      </c>
      <c r="B27">
        <v>68</v>
      </c>
      <c r="C27" t="s">
        <v>19</v>
      </c>
      <c r="D27">
        <v>62</v>
      </c>
      <c r="E27" s="20">
        <v>44742</v>
      </c>
      <c r="F27">
        <v>15</v>
      </c>
      <c r="G27">
        <v>91.5</v>
      </c>
      <c r="H27">
        <v>57</v>
      </c>
      <c r="I27">
        <v>3.7</v>
      </c>
      <c r="J27">
        <v>6</v>
      </c>
      <c r="K27">
        <v>38</v>
      </c>
      <c r="L27">
        <v>12</v>
      </c>
      <c r="M27" t="s">
        <v>20</v>
      </c>
      <c r="N27">
        <v>5.5</v>
      </c>
      <c r="O27" t="s">
        <v>29</v>
      </c>
      <c r="P27">
        <v>20</v>
      </c>
      <c r="Q27" t="s">
        <v>25</v>
      </c>
      <c r="R27">
        <v>18.5</v>
      </c>
      <c r="S27">
        <v>2022</v>
      </c>
      <c r="T27" t="s">
        <v>52</v>
      </c>
    </row>
    <row r="28" spans="1:20" x14ac:dyDescent="0.3">
      <c r="A28" t="s">
        <v>28</v>
      </c>
      <c r="B28">
        <v>68</v>
      </c>
      <c r="C28" t="s">
        <v>23</v>
      </c>
      <c r="D28">
        <v>28</v>
      </c>
      <c r="E28" s="20">
        <v>44743</v>
      </c>
      <c r="F28">
        <v>12</v>
      </c>
      <c r="G28">
        <v>89</v>
      </c>
      <c r="H28">
        <v>53</v>
      </c>
      <c r="I28">
        <v>3.1</v>
      </c>
      <c r="K28">
        <v>99</v>
      </c>
      <c r="L28">
        <v>11.5</v>
      </c>
      <c r="M28" t="s">
        <v>20</v>
      </c>
      <c r="N28">
        <v>4.5</v>
      </c>
      <c r="O28" t="s">
        <v>29</v>
      </c>
      <c r="P28">
        <v>18</v>
      </c>
      <c r="Q28" t="s">
        <v>25</v>
      </c>
      <c r="R28">
        <v>17</v>
      </c>
      <c r="S28">
        <v>2022</v>
      </c>
      <c r="T28" t="s">
        <v>53</v>
      </c>
    </row>
    <row r="29" spans="1:20" x14ac:dyDescent="0.3">
      <c r="A29" t="s">
        <v>28</v>
      </c>
      <c r="B29">
        <v>68</v>
      </c>
      <c r="C29" t="s">
        <v>35</v>
      </c>
      <c r="D29">
        <v>115</v>
      </c>
      <c r="E29" s="20">
        <v>44744</v>
      </c>
      <c r="F29">
        <v>10</v>
      </c>
      <c r="G29">
        <v>88</v>
      </c>
      <c r="H29">
        <v>45</v>
      </c>
      <c r="I29">
        <v>2.9</v>
      </c>
      <c r="J29">
        <v>64</v>
      </c>
      <c r="K29">
        <v>55</v>
      </c>
      <c r="L29">
        <v>10</v>
      </c>
      <c r="M29" t="s">
        <v>20</v>
      </c>
      <c r="N29">
        <v>4</v>
      </c>
      <c r="O29" t="s">
        <v>29</v>
      </c>
      <c r="P29">
        <v>16.5</v>
      </c>
      <c r="Q29" t="s">
        <v>25</v>
      </c>
      <c r="R29">
        <v>15</v>
      </c>
      <c r="S29">
        <v>2022</v>
      </c>
      <c r="T29" t="s">
        <v>53</v>
      </c>
    </row>
    <row r="30" spans="1:20" x14ac:dyDescent="0.3">
      <c r="A30" t="s">
        <v>28</v>
      </c>
      <c r="B30">
        <v>68</v>
      </c>
      <c r="C30" t="s">
        <v>19</v>
      </c>
      <c r="D30">
        <v>66</v>
      </c>
      <c r="E30" s="20">
        <v>44757</v>
      </c>
      <c r="F30">
        <v>15</v>
      </c>
      <c r="G30">
        <v>91.5</v>
      </c>
      <c r="H30">
        <v>57</v>
      </c>
      <c r="I30">
        <v>3.7</v>
      </c>
      <c r="J30">
        <v>7</v>
      </c>
      <c r="K30">
        <v>38</v>
      </c>
      <c r="L30">
        <v>12</v>
      </c>
      <c r="M30" t="s">
        <v>20</v>
      </c>
      <c r="N30">
        <v>5.5</v>
      </c>
      <c r="O30" t="s">
        <v>29</v>
      </c>
      <c r="P30">
        <v>20</v>
      </c>
      <c r="Q30" t="s">
        <v>25</v>
      </c>
      <c r="R30">
        <v>18.5</v>
      </c>
      <c r="S30">
        <v>2022</v>
      </c>
      <c r="T30" t="s">
        <v>53</v>
      </c>
    </row>
    <row r="31" spans="1:20" x14ac:dyDescent="0.3">
      <c r="A31" t="s">
        <v>28</v>
      </c>
      <c r="B31">
        <v>68</v>
      </c>
      <c r="C31" t="s">
        <v>23</v>
      </c>
      <c r="D31">
        <v>28</v>
      </c>
      <c r="E31" s="20">
        <v>44758</v>
      </c>
      <c r="F31">
        <v>12</v>
      </c>
      <c r="G31">
        <v>89</v>
      </c>
      <c r="H31">
        <v>53</v>
      </c>
      <c r="I31">
        <v>3.1</v>
      </c>
      <c r="J31">
        <v>66</v>
      </c>
      <c r="K31">
        <v>99</v>
      </c>
      <c r="L31">
        <v>11.5</v>
      </c>
      <c r="M31" t="s">
        <v>20</v>
      </c>
      <c r="N31">
        <v>4.5</v>
      </c>
      <c r="O31" t="s">
        <v>29</v>
      </c>
      <c r="P31">
        <v>18</v>
      </c>
      <c r="Q31" t="s">
        <v>25</v>
      </c>
      <c r="R31">
        <v>17</v>
      </c>
      <c r="S31">
        <v>2022</v>
      </c>
      <c r="T31" t="s">
        <v>53</v>
      </c>
    </row>
    <row r="32" spans="1:20" x14ac:dyDescent="0.3">
      <c r="A32" t="s">
        <v>28</v>
      </c>
      <c r="B32">
        <v>68</v>
      </c>
      <c r="C32" t="s">
        <v>35</v>
      </c>
      <c r="D32">
        <v>55</v>
      </c>
      <c r="E32" s="20">
        <v>44759</v>
      </c>
      <c r="F32">
        <v>10</v>
      </c>
      <c r="G32">
        <v>88</v>
      </c>
      <c r="H32">
        <v>45</v>
      </c>
      <c r="I32">
        <v>2.9</v>
      </c>
      <c r="J32">
        <v>64</v>
      </c>
      <c r="K32">
        <v>55</v>
      </c>
      <c r="L32">
        <v>10</v>
      </c>
      <c r="M32" t="s">
        <v>20</v>
      </c>
      <c r="N32">
        <v>4</v>
      </c>
      <c r="O32" t="s">
        <v>29</v>
      </c>
      <c r="P32">
        <v>16.5</v>
      </c>
      <c r="Q32" t="s">
        <v>25</v>
      </c>
      <c r="R32">
        <v>15</v>
      </c>
      <c r="S32">
        <v>2022</v>
      </c>
      <c r="T32" t="s">
        <v>53</v>
      </c>
    </row>
    <row r="33" spans="1:20" x14ac:dyDescent="0.3">
      <c r="A33" t="s">
        <v>24</v>
      </c>
      <c r="B33">
        <v>44</v>
      </c>
      <c r="C33" t="s">
        <v>19</v>
      </c>
      <c r="D33">
        <v>45</v>
      </c>
      <c r="E33" s="20">
        <v>44572</v>
      </c>
      <c r="F33">
        <v>50</v>
      </c>
      <c r="G33">
        <v>91.47</v>
      </c>
      <c r="H33">
        <v>49</v>
      </c>
      <c r="I33">
        <v>2.9</v>
      </c>
      <c r="J33">
        <v>47.8</v>
      </c>
      <c r="K33">
        <v>33</v>
      </c>
      <c r="L33">
        <v>18</v>
      </c>
      <c r="M33" t="s">
        <v>24</v>
      </c>
      <c r="N33">
        <v>27.5</v>
      </c>
      <c r="O33" t="s">
        <v>21</v>
      </c>
      <c r="P33">
        <v>8.1</v>
      </c>
      <c r="Q33" t="s">
        <v>25</v>
      </c>
      <c r="R33">
        <v>6.9</v>
      </c>
      <c r="S33">
        <v>2022</v>
      </c>
      <c r="T33" t="s">
        <v>47</v>
      </c>
    </row>
    <row r="34" spans="1:20" x14ac:dyDescent="0.3">
      <c r="A34" t="s">
        <v>24</v>
      </c>
      <c r="B34">
        <v>44</v>
      </c>
      <c r="C34" t="s">
        <v>23</v>
      </c>
      <c r="D34">
        <v>39</v>
      </c>
      <c r="E34" s="20">
        <v>44573</v>
      </c>
      <c r="F34">
        <v>42</v>
      </c>
      <c r="G34">
        <v>85.3</v>
      </c>
      <c r="H34">
        <v>35</v>
      </c>
      <c r="I34">
        <v>2.7</v>
      </c>
      <c r="J34">
        <v>45</v>
      </c>
      <c r="K34">
        <v>28</v>
      </c>
      <c r="L34">
        <v>17.5</v>
      </c>
      <c r="M34" t="s">
        <v>24</v>
      </c>
      <c r="N34">
        <v>26</v>
      </c>
      <c r="O34" t="s">
        <v>21</v>
      </c>
      <c r="P34">
        <v>7.5</v>
      </c>
      <c r="Q34" t="s">
        <v>25</v>
      </c>
      <c r="R34">
        <v>6.3</v>
      </c>
      <c r="S34">
        <v>2022</v>
      </c>
      <c r="T34" t="s">
        <v>47</v>
      </c>
    </row>
    <row r="35" spans="1:20" x14ac:dyDescent="0.3">
      <c r="A35" t="s">
        <v>24</v>
      </c>
      <c r="B35">
        <v>44</v>
      </c>
      <c r="C35" t="s">
        <v>19</v>
      </c>
      <c r="D35">
        <v>42</v>
      </c>
      <c r="E35" s="20">
        <v>44584</v>
      </c>
      <c r="F35">
        <v>46</v>
      </c>
      <c r="G35">
        <v>91.47</v>
      </c>
      <c r="H35">
        <v>49</v>
      </c>
      <c r="I35">
        <v>2.9</v>
      </c>
      <c r="J35">
        <v>47.8</v>
      </c>
      <c r="K35">
        <v>31</v>
      </c>
      <c r="L35">
        <v>18</v>
      </c>
      <c r="M35" t="s">
        <v>24</v>
      </c>
      <c r="N35">
        <v>27.5</v>
      </c>
      <c r="O35" t="s">
        <v>21</v>
      </c>
      <c r="P35">
        <v>8.1</v>
      </c>
      <c r="Q35" t="s">
        <v>25</v>
      </c>
      <c r="R35">
        <v>6.9</v>
      </c>
      <c r="S35">
        <v>2022</v>
      </c>
      <c r="T35" t="s">
        <v>47</v>
      </c>
    </row>
    <row r="36" spans="1:20" x14ac:dyDescent="0.3">
      <c r="A36" t="s">
        <v>24</v>
      </c>
      <c r="B36">
        <v>44</v>
      </c>
      <c r="C36" t="s">
        <v>23</v>
      </c>
      <c r="D36">
        <v>38</v>
      </c>
      <c r="E36" s="20">
        <v>44585</v>
      </c>
      <c r="F36">
        <v>35</v>
      </c>
      <c r="G36">
        <v>85.3</v>
      </c>
      <c r="H36">
        <v>35</v>
      </c>
      <c r="I36">
        <v>2.5</v>
      </c>
      <c r="J36">
        <v>45</v>
      </c>
      <c r="K36">
        <v>27</v>
      </c>
      <c r="L36">
        <v>17.5</v>
      </c>
      <c r="M36" t="s">
        <v>24</v>
      </c>
      <c r="N36">
        <v>26</v>
      </c>
      <c r="O36" t="s">
        <v>21</v>
      </c>
      <c r="P36">
        <v>7.5</v>
      </c>
      <c r="Q36" t="s">
        <v>25</v>
      </c>
      <c r="R36">
        <v>6.3</v>
      </c>
      <c r="S36">
        <v>2022</v>
      </c>
      <c r="T36" t="s">
        <v>47</v>
      </c>
    </row>
    <row r="37" spans="1:20" x14ac:dyDescent="0.3">
      <c r="A37" t="s">
        <v>24</v>
      </c>
      <c r="B37">
        <v>44</v>
      </c>
      <c r="C37" t="s">
        <v>19</v>
      </c>
      <c r="D37">
        <v>78</v>
      </c>
      <c r="E37" s="20">
        <v>44596</v>
      </c>
      <c r="F37">
        <v>44</v>
      </c>
      <c r="G37">
        <v>91.47</v>
      </c>
      <c r="H37">
        <v>49</v>
      </c>
      <c r="I37">
        <v>2.7</v>
      </c>
      <c r="J37">
        <v>47.8</v>
      </c>
      <c r="K37">
        <v>32</v>
      </c>
      <c r="L37">
        <v>18</v>
      </c>
      <c r="M37" t="s">
        <v>24</v>
      </c>
      <c r="N37">
        <v>27.5</v>
      </c>
      <c r="O37" t="s">
        <v>21</v>
      </c>
      <c r="P37">
        <v>8.1</v>
      </c>
      <c r="Q37" t="s">
        <v>25</v>
      </c>
      <c r="R37">
        <v>6.9</v>
      </c>
      <c r="S37">
        <v>2022</v>
      </c>
      <c r="T37" t="s">
        <v>48</v>
      </c>
    </row>
    <row r="38" spans="1:20" x14ac:dyDescent="0.3">
      <c r="A38" t="s">
        <v>24</v>
      </c>
      <c r="B38">
        <v>44</v>
      </c>
      <c r="C38" t="s">
        <v>23</v>
      </c>
      <c r="D38">
        <v>350</v>
      </c>
      <c r="E38" s="20">
        <v>44597</v>
      </c>
      <c r="F38">
        <v>32</v>
      </c>
      <c r="G38">
        <v>85.3</v>
      </c>
      <c r="H38">
        <v>35</v>
      </c>
      <c r="I38">
        <v>2.5</v>
      </c>
      <c r="J38">
        <v>45</v>
      </c>
      <c r="K38">
        <v>29</v>
      </c>
      <c r="L38">
        <v>17.5</v>
      </c>
      <c r="M38" t="s">
        <v>24</v>
      </c>
      <c r="N38">
        <v>26</v>
      </c>
      <c r="O38" t="s">
        <v>21</v>
      </c>
      <c r="P38">
        <v>7.5</v>
      </c>
      <c r="Q38" t="s">
        <v>25</v>
      </c>
      <c r="R38">
        <v>6.3</v>
      </c>
      <c r="S38">
        <v>2022</v>
      </c>
      <c r="T38" t="s">
        <v>48</v>
      </c>
    </row>
    <row r="39" spans="1:20" x14ac:dyDescent="0.3">
      <c r="A39" t="s">
        <v>24</v>
      </c>
      <c r="B39">
        <v>44</v>
      </c>
      <c r="C39" t="s">
        <v>19</v>
      </c>
      <c r="D39">
        <v>46</v>
      </c>
      <c r="E39" s="20">
        <v>44608</v>
      </c>
      <c r="F39">
        <v>44</v>
      </c>
      <c r="G39">
        <v>91.47</v>
      </c>
      <c r="H39">
        <v>49</v>
      </c>
      <c r="I39">
        <v>2.7</v>
      </c>
      <c r="J39">
        <v>47.8</v>
      </c>
      <c r="K39">
        <v>32</v>
      </c>
      <c r="L39">
        <v>18</v>
      </c>
      <c r="M39" t="s">
        <v>24</v>
      </c>
      <c r="N39">
        <v>27.5</v>
      </c>
      <c r="O39" t="s">
        <v>21</v>
      </c>
      <c r="P39">
        <v>8.1</v>
      </c>
      <c r="Q39" t="s">
        <v>25</v>
      </c>
      <c r="R39">
        <v>6.9</v>
      </c>
      <c r="S39">
        <v>2022</v>
      </c>
      <c r="T39" t="s">
        <v>48</v>
      </c>
    </row>
    <row r="40" spans="1:20" x14ac:dyDescent="0.3">
      <c r="A40" t="s">
        <v>24</v>
      </c>
      <c r="B40">
        <v>44</v>
      </c>
      <c r="C40" t="s">
        <v>23</v>
      </c>
      <c r="D40">
        <v>135</v>
      </c>
      <c r="E40" s="20">
        <v>44609</v>
      </c>
      <c r="F40">
        <v>32</v>
      </c>
      <c r="G40">
        <v>85.3</v>
      </c>
      <c r="H40">
        <v>35</v>
      </c>
      <c r="I40">
        <v>2.5</v>
      </c>
      <c r="J40">
        <v>45</v>
      </c>
      <c r="K40">
        <v>29</v>
      </c>
      <c r="L40">
        <v>17.5</v>
      </c>
      <c r="M40" t="s">
        <v>24</v>
      </c>
      <c r="N40">
        <v>26</v>
      </c>
      <c r="O40" t="s">
        <v>21</v>
      </c>
      <c r="P40">
        <v>7.5</v>
      </c>
      <c r="Q40" t="s">
        <v>25</v>
      </c>
      <c r="R40">
        <v>6.3</v>
      </c>
      <c r="S40">
        <v>2022</v>
      </c>
      <c r="T40" t="s">
        <v>48</v>
      </c>
    </row>
    <row r="41" spans="1:20" x14ac:dyDescent="0.3">
      <c r="A41" t="s">
        <v>24</v>
      </c>
      <c r="B41">
        <v>44</v>
      </c>
      <c r="C41" t="s">
        <v>19</v>
      </c>
      <c r="D41">
        <v>46</v>
      </c>
      <c r="E41" s="20">
        <v>44620</v>
      </c>
      <c r="F41">
        <v>44</v>
      </c>
      <c r="G41">
        <v>91.47</v>
      </c>
      <c r="H41">
        <v>49</v>
      </c>
      <c r="I41">
        <v>2.7</v>
      </c>
      <c r="J41">
        <v>47.8</v>
      </c>
      <c r="K41">
        <v>32</v>
      </c>
      <c r="L41">
        <v>18</v>
      </c>
      <c r="M41" t="s">
        <v>24</v>
      </c>
      <c r="N41">
        <v>27.5</v>
      </c>
      <c r="O41" t="s">
        <v>21</v>
      </c>
      <c r="P41">
        <v>8.1</v>
      </c>
      <c r="Q41" t="s">
        <v>25</v>
      </c>
      <c r="R41">
        <v>6.9</v>
      </c>
      <c r="S41">
        <v>2022</v>
      </c>
      <c r="T41" t="s">
        <v>48</v>
      </c>
    </row>
    <row r="42" spans="1:20" x14ac:dyDescent="0.3">
      <c r="A42" t="s">
        <v>24</v>
      </c>
      <c r="B42">
        <v>44</v>
      </c>
      <c r="C42" t="s">
        <v>23</v>
      </c>
      <c r="D42">
        <v>135</v>
      </c>
      <c r="E42" s="20">
        <v>44621</v>
      </c>
      <c r="F42">
        <v>32</v>
      </c>
      <c r="G42">
        <v>85.3</v>
      </c>
      <c r="H42">
        <v>35</v>
      </c>
      <c r="I42">
        <v>2.5</v>
      </c>
      <c r="J42">
        <v>45</v>
      </c>
      <c r="K42">
        <v>29</v>
      </c>
      <c r="L42">
        <v>17.5</v>
      </c>
      <c r="M42" t="s">
        <v>24</v>
      </c>
      <c r="N42">
        <v>26</v>
      </c>
      <c r="O42" t="s">
        <v>21</v>
      </c>
      <c r="P42">
        <v>7.5</v>
      </c>
      <c r="Q42" t="s">
        <v>25</v>
      </c>
      <c r="R42">
        <v>6.3</v>
      </c>
      <c r="S42">
        <v>2022</v>
      </c>
      <c r="T42" t="s">
        <v>49</v>
      </c>
    </row>
    <row r="43" spans="1:20" x14ac:dyDescent="0.3">
      <c r="A43" t="s">
        <v>24</v>
      </c>
      <c r="B43">
        <v>44</v>
      </c>
      <c r="C43" t="s">
        <v>19</v>
      </c>
      <c r="D43">
        <v>40</v>
      </c>
      <c r="E43" s="20">
        <v>44632</v>
      </c>
      <c r="F43">
        <v>48</v>
      </c>
      <c r="G43">
        <v>91.47</v>
      </c>
      <c r="H43">
        <v>49</v>
      </c>
      <c r="I43">
        <v>3</v>
      </c>
      <c r="J43">
        <v>47.8</v>
      </c>
      <c r="K43">
        <v>33</v>
      </c>
      <c r="L43">
        <v>18</v>
      </c>
      <c r="M43" t="s">
        <v>24</v>
      </c>
      <c r="N43">
        <v>27.5</v>
      </c>
      <c r="O43" t="s">
        <v>21</v>
      </c>
      <c r="P43">
        <v>8.1</v>
      </c>
      <c r="Q43" t="s">
        <v>25</v>
      </c>
      <c r="R43">
        <v>6.9</v>
      </c>
      <c r="S43">
        <v>2022</v>
      </c>
      <c r="T43" t="s">
        <v>49</v>
      </c>
    </row>
    <row r="44" spans="1:20" x14ac:dyDescent="0.3">
      <c r="A44" t="s">
        <v>24</v>
      </c>
      <c r="B44">
        <v>44</v>
      </c>
      <c r="C44" t="s">
        <v>23</v>
      </c>
      <c r="D44">
        <v>37</v>
      </c>
      <c r="E44" s="20">
        <v>44633</v>
      </c>
      <c r="F44">
        <v>39</v>
      </c>
      <c r="G44">
        <v>85.3</v>
      </c>
      <c r="H44">
        <v>35</v>
      </c>
      <c r="I44">
        <v>2.8</v>
      </c>
      <c r="J44">
        <v>45</v>
      </c>
      <c r="K44">
        <v>28</v>
      </c>
      <c r="L44">
        <v>17.5</v>
      </c>
      <c r="M44" t="s">
        <v>24</v>
      </c>
      <c r="N44">
        <v>26</v>
      </c>
      <c r="O44" t="s">
        <v>21</v>
      </c>
      <c r="P44">
        <v>7.5</v>
      </c>
      <c r="Q44" t="s">
        <v>25</v>
      </c>
      <c r="R44">
        <v>6.3</v>
      </c>
      <c r="S44">
        <v>2022</v>
      </c>
      <c r="T44" t="s">
        <v>49</v>
      </c>
    </row>
    <row r="45" spans="1:20" x14ac:dyDescent="0.3">
      <c r="A45" t="s">
        <v>24</v>
      </c>
      <c r="B45">
        <v>44</v>
      </c>
      <c r="C45" t="s">
        <v>19</v>
      </c>
      <c r="D45">
        <v>40</v>
      </c>
      <c r="E45" s="20">
        <v>44644</v>
      </c>
      <c r="F45">
        <v>48</v>
      </c>
      <c r="G45">
        <v>91.47</v>
      </c>
      <c r="H45">
        <v>49</v>
      </c>
      <c r="I45">
        <v>3</v>
      </c>
      <c r="J45">
        <v>47.8</v>
      </c>
      <c r="K45">
        <v>33</v>
      </c>
      <c r="L45">
        <v>18</v>
      </c>
      <c r="M45" t="s">
        <v>24</v>
      </c>
      <c r="N45">
        <v>27.5</v>
      </c>
      <c r="O45" t="s">
        <v>21</v>
      </c>
      <c r="P45">
        <v>8.1</v>
      </c>
      <c r="Q45" t="s">
        <v>25</v>
      </c>
      <c r="R45">
        <v>6.9</v>
      </c>
      <c r="S45">
        <v>2022</v>
      </c>
      <c r="T45" t="s">
        <v>49</v>
      </c>
    </row>
    <row r="46" spans="1:20" x14ac:dyDescent="0.3">
      <c r="A46" t="s">
        <v>24</v>
      </c>
      <c r="B46">
        <v>44</v>
      </c>
      <c r="C46" t="s">
        <v>23</v>
      </c>
      <c r="D46">
        <v>37</v>
      </c>
      <c r="E46" s="20">
        <v>44645</v>
      </c>
      <c r="F46">
        <v>39</v>
      </c>
      <c r="G46">
        <v>85.3</v>
      </c>
      <c r="H46">
        <v>35</v>
      </c>
      <c r="I46">
        <v>2.8</v>
      </c>
      <c r="J46">
        <v>45</v>
      </c>
      <c r="K46">
        <v>28</v>
      </c>
      <c r="L46">
        <v>17.5</v>
      </c>
      <c r="M46" t="s">
        <v>24</v>
      </c>
      <c r="N46">
        <v>26</v>
      </c>
      <c r="O46" t="s">
        <v>21</v>
      </c>
      <c r="P46">
        <v>7.5</v>
      </c>
      <c r="Q46" t="s">
        <v>25</v>
      </c>
      <c r="R46">
        <v>6.3</v>
      </c>
      <c r="S46">
        <v>2022</v>
      </c>
      <c r="T46" t="s">
        <v>49</v>
      </c>
    </row>
    <row r="47" spans="1:20" x14ac:dyDescent="0.3">
      <c r="A47" t="s">
        <v>24</v>
      </c>
      <c r="B47">
        <v>44</v>
      </c>
      <c r="C47" t="s">
        <v>19</v>
      </c>
      <c r="D47">
        <v>45</v>
      </c>
      <c r="E47" s="20">
        <v>44656</v>
      </c>
      <c r="F47">
        <v>49</v>
      </c>
      <c r="G47">
        <v>90</v>
      </c>
      <c r="H47">
        <v>45</v>
      </c>
      <c r="I47">
        <v>3.1</v>
      </c>
      <c r="J47">
        <v>48.5</v>
      </c>
      <c r="K47">
        <v>33</v>
      </c>
      <c r="L47">
        <v>18.5</v>
      </c>
      <c r="M47" t="s">
        <v>24</v>
      </c>
      <c r="N47">
        <v>25</v>
      </c>
      <c r="O47" t="s">
        <v>21</v>
      </c>
      <c r="P47">
        <v>9</v>
      </c>
      <c r="Q47" t="s">
        <v>25</v>
      </c>
      <c r="R47">
        <v>7.5</v>
      </c>
      <c r="S47">
        <v>2022</v>
      </c>
      <c r="T47" t="s">
        <v>50</v>
      </c>
    </row>
    <row r="48" spans="1:20" x14ac:dyDescent="0.3">
      <c r="A48" t="s">
        <v>24</v>
      </c>
      <c r="B48">
        <v>44</v>
      </c>
      <c r="C48" t="s">
        <v>23</v>
      </c>
      <c r="D48">
        <v>134</v>
      </c>
      <c r="E48" s="20">
        <v>44657</v>
      </c>
      <c r="F48">
        <v>37</v>
      </c>
      <c r="G48">
        <v>87</v>
      </c>
      <c r="H48">
        <v>40</v>
      </c>
      <c r="I48">
        <v>2.9</v>
      </c>
      <c r="J48">
        <v>46</v>
      </c>
      <c r="K48">
        <v>27</v>
      </c>
      <c r="L48">
        <v>16.5</v>
      </c>
      <c r="M48" t="s">
        <v>24</v>
      </c>
      <c r="N48">
        <v>24</v>
      </c>
      <c r="O48" t="s">
        <v>21</v>
      </c>
      <c r="P48">
        <v>8</v>
      </c>
      <c r="Q48" t="s">
        <v>25</v>
      </c>
      <c r="R48">
        <v>6.5</v>
      </c>
      <c r="S48">
        <v>2022</v>
      </c>
      <c r="T48" t="s">
        <v>50</v>
      </c>
    </row>
    <row r="49" spans="1:20" x14ac:dyDescent="0.3">
      <c r="A49" t="s">
        <v>24</v>
      </c>
      <c r="B49">
        <v>44</v>
      </c>
      <c r="C49" t="s">
        <v>19</v>
      </c>
      <c r="D49">
        <v>42</v>
      </c>
      <c r="E49" s="20">
        <v>44668</v>
      </c>
      <c r="F49">
        <v>45</v>
      </c>
      <c r="G49">
        <v>89</v>
      </c>
      <c r="H49">
        <v>45</v>
      </c>
      <c r="I49">
        <v>3.2</v>
      </c>
      <c r="J49">
        <v>45</v>
      </c>
      <c r="K49">
        <v>31</v>
      </c>
      <c r="L49">
        <v>17</v>
      </c>
      <c r="M49" t="s">
        <v>24</v>
      </c>
      <c r="N49">
        <v>26</v>
      </c>
      <c r="O49" t="s">
        <v>21</v>
      </c>
      <c r="P49">
        <v>7</v>
      </c>
      <c r="Q49" t="s">
        <v>25</v>
      </c>
      <c r="R49">
        <v>7</v>
      </c>
      <c r="S49">
        <v>2022</v>
      </c>
      <c r="T49" t="s">
        <v>50</v>
      </c>
    </row>
    <row r="50" spans="1:20" x14ac:dyDescent="0.3">
      <c r="A50" t="s">
        <v>24</v>
      </c>
      <c r="B50">
        <v>44</v>
      </c>
      <c r="C50" t="s">
        <v>23</v>
      </c>
      <c r="D50">
        <v>39</v>
      </c>
      <c r="E50" s="20">
        <v>44669</v>
      </c>
      <c r="F50">
        <v>38</v>
      </c>
      <c r="G50">
        <v>85</v>
      </c>
      <c r="H50">
        <v>35</v>
      </c>
      <c r="I50">
        <v>2.8</v>
      </c>
      <c r="J50">
        <v>44</v>
      </c>
      <c r="K50">
        <v>27</v>
      </c>
      <c r="L50">
        <v>16</v>
      </c>
      <c r="M50" t="s">
        <v>24</v>
      </c>
      <c r="N50">
        <v>25</v>
      </c>
      <c r="O50" t="s">
        <v>21</v>
      </c>
      <c r="P50">
        <v>6.5</v>
      </c>
      <c r="Q50" t="s">
        <v>25</v>
      </c>
      <c r="R50">
        <v>6.5</v>
      </c>
      <c r="S50">
        <v>2022</v>
      </c>
      <c r="T50" t="s">
        <v>50</v>
      </c>
    </row>
    <row r="51" spans="1:20" x14ac:dyDescent="0.3">
      <c r="A51" t="s">
        <v>24</v>
      </c>
      <c r="B51">
        <v>44</v>
      </c>
      <c r="C51" t="s">
        <v>19</v>
      </c>
      <c r="D51">
        <v>40</v>
      </c>
      <c r="E51" s="20">
        <v>44675</v>
      </c>
      <c r="F51">
        <v>48</v>
      </c>
      <c r="G51">
        <v>91.47</v>
      </c>
      <c r="H51">
        <v>49</v>
      </c>
      <c r="I51">
        <v>3</v>
      </c>
      <c r="J51">
        <v>47.8</v>
      </c>
      <c r="K51">
        <v>33</v>
      </c>
      <c r="L51">
        <v>18</v>
      </c>
      <c r="M51" t="s">
        <v>24</v>
      </c>
      <c r="N51">
        <v>27.5</v>
      </c>
      <c r="O51" t="s">
        <v>21</v>
      </c>
      <c r="P51">
        <v>8.1</v>
      </c>
      <c r="Q51" t="s">
        <v>25</v>
      </c>
      <c r="R51">
        <v>6.9</v>
      </c>
      <c r="S51">
        <v>2022</v>
      </c>
      <c r="T51" t="s">
        <v>50</v>
      </c>
    </row>
    <row r="52" spans="1:20" x14ac:dyDescent="0.3">
      <c r="A52" t="s">
        <v>24</v>
      </c>
      <c r="B52">
        <v>44</v>
      </c>
      <c r="C52" t="s">
        <v>23</v>
      </c>
      <c r="D52">
        <v>37</v>
      </c>
      <c r="E52" s="20">
        <v>44676</v>
      </c>
      <c r="F52">
        <v>39</v>
      </c>
      <c r="G52">
        <v>85.3</v>
      </c>
      <c r="H52">
        <v>35</v>
      </c>
      <c r="I52">
        <v>2.8</v>
      </c>
      <c r="J52">
        <v>5</v>
      </c>
      <c r="K52">
        <v>28</v>
      </c>
      <c r="L52">
        <v>17.5</v>
      </c>
      <c r="M52" t="s">
        <v>24</v>
      </c>
      <c r="N52">
        <v>26</v>
      </c>
      <c r="O52" t="s">
        <v>21</v>
      </c>
      <c r="P52">
        <v>7.5</v>
      </c>
      <c r="Q52" t="s">
        <v>25</v>
      </c>
      <c r="R52">
        <v>6.3</v>
      </c>
      <c r="S52">
        <v>2022</v>
      </c>
      <c r="T52" t="s">
        <v>50</v>
      </c>
    </row>
    <row r="53" spans="1:20" x14ac:dyDescent="0.3">
      <c r="A53" t="s">
        <v>24</v>
      </c>
      <c r="B53">
        <v>44</v>
      </c>
      <c r="C53" t="s">
        <v>35</v>
      </c>
      <c r="D53">
        <v>29</v>
      </c>
      <c r="E53" s="20">
        <v>44677</v>
      </c>
      <c r="F53">
        <v>30</v>
      </c>
      <c r="G53">
        <v>87</v>
      </c>
      <c r="H53">
        <v>30</v>
      </c>
      <c r="I53">
        <v>3.2</v>
      </c>
      <c r="J53">
        <v>46.5</v>
      </c>
      <c r="K53">
        <v>93</v>
      </c>
      <c r="L53">
        <v>14</v>
      </c>
      <c r="M53" t="s">
        <v>24</v>
      </c>
      <c r="N53">
        <v>24</v>
      </c>
      <c r="O53" t="s">
        <v>21</v>
      </c>
      <c r="P53">
        <v>6.8</v>
      </c>
      <c r="Q53" t="s">
        <v>25</v>
      </c>
      <c r="R53">
        <v>6.1</v>
      </c>
      <c r="S53">
        <v>2022</v>
      </c>
      <c r="T53" t="s">
        <v>50</v>
      </c>
    </row>
    <row r="54" spans="1:20" x14ac:dyDescent="0.3">
      <c r="A54" t="s">
        <v>24</v>
      </c>
      <c r="B54">
        <v>44</v>
      </c>
      <c r="C54" t="s">
        <v>19</v>
      </c>
      <c r="D54">
        <v>45</v>
      </c>
      <c r="E54" s="20">
        <v>44692</v>
      </c>
      <c r="F54">
        <v>49</v>
      </c>
      <c r="G54">
        <v>90</v>
      </c>
      <c r="H54">
        <v>45</v>
      </c>
      <c r="I54">
        <v>3.1</v>
      </c>
      <c r="J54">
        <v>48.5</v>
      </c>
      <c r="K54">
        <v>33</v>
      </c>
      <c r="L54">
        <v>18.5</v>
      </c>
      <c r="M54" t="s">
        <v>24</v>
      </c>
      <c r="N54">
        <v>25</v>
      </c>
      <c r="O54" t="s">
        <v>21</v>
      </c>
      <c r="P54">
        <v>9</v>
      </c>
      <c r="Q54" t="s">
        <v>25</v>
      </c>
      <c r="R54">
        <v>7.5</v>
      </c>
      <c r="S54">
        <v>2022</v>
      </c>
      <c r="T54" t="s">
        <v>51</v>
      </c>
    </row>
    <row r="55" spans="1:20" x14ac:dyDescent="0.3">
      <c r="A55" t="s">
        <v>24</v>
      </c>
      <c r="B55">
        <v>44</v>
      </c>
      <c r="C55" t="s">
        <v>23</v>
      </c>
      <c r="D55">
        <v>34</v>
      </c>
      <c r="E55" s="20">
        <v>44693</v>
      </c>
      <c r="F55">
        <v>37</v>
      </c>
      <c r="G55">
        <v>87</v>
      </c>
      <c r="H55">
        <v>40</v>
      </c>
      <c r="I55">
        <v>2.9</v>
      </c>
      <c r="J55">
        <v>44</v>
      </c>
      <c r="K55">
        <v>27</v>
      </c>
      <c r="L55">
        <v>16.5</v>
      </c>
      <c r="M55" t="s">
        <v>24</v>
      </c>
      <c r="N55">
        <v>24</v>
      </c>
      <c r="O55" t="s">
        <v>21</v>
      </c>
      <c r="P55">
        <v>8</v>
      </c>
      <c r="Q55" t="s">
        <v>25</v>
      </c>
      <c r="R55">
        <v>6.5</v>
      </c>
      <c r="S55">
        <v>2022</v>
      </c>
      <c r="T55" t="s">
        <v>51</v>
      </c>
    </row>
    <row r="56" spans="1:20" x14ac:dyDescent="0.3">
      <c r="A56" t="s">
        <v>24</v>
      </c>
      <c r="B56">
        <v>44</v>
      </c>
      <c r="C56" t="s">
        <v>35</v>
      </c>
      <c r="D56">
        <v>2</v>
      </c>
      <c r="E56" s="20">
        <v>44694</v>
      </c>
      <c r="F56">
        <v>25</v>
      </c>
      <c r="G56">
        <v>85</v>
      </c>
      <c r="H56">
        <v>35</v>
      </c>
      <c r="I56">
        <v>3</v>
      </c>
      <c r="J56">
        <v>43</v>
      </c>
      <c r="K56">
        <v>78</v>
      </c>
      <c r="L56">
        <v>15</v>
      </c>
      <c r="M56" t="s">
        <v>24</v>
      </c>
      <c r="N56">
        <v>23</v>
      </c>
      <c r="O56" t="s">
        <v>21</v>
      </c>
      <c r="P56">
        <v>7</v>
      </c>
      <c r="Q56" t="s">
        <v>25</v>
      </c>
      <c r="R56">
        <v>5</v>
      </c>
      <c r="S56">
        <v>2022</v>
      </c>
      <c r="T56" t="s">
        <v>51</v>
      </c>
    </row>
    <row r="57" spans="1:20" x14ac:dyDescent="0.3">
      <c r="A57" t="s">
        <v>24</v>
      </c>
      <c r="B57">
        <v>44</v>
      </c>
      <c r="C57" t="s">
        <v>19</v>
      </c>
      <c r="D57">
        <v>42</v>
      </c>
      <c r="E57" s="20">
        <v>44710</v>
      </c>
      <c r="F57">
        <v>45</v>
      </c>
      <c r="G57">
        <v>89</v>
      </c>
      <c r="H57">
        <v>45</v>
      </c>
      <c r="I57">
        <v>3.2</v>
      </c>
      <c r="J57">
        <v>45</v>
      </c>
      <c r="K57">
        <v>31</v>
      </c>
      <c r="L57">
        <v>17</v>
      </c>
      <c r="M57" t="s">
        <v>24</v>
      </c>
      <c r="N57">
        <v>26</v>
      </c>
      <c r="O57" t="s">
        <v>21</v>
      </c>
      <c r="P57">
        <v>7</v>
      </c>
      <c r="Q57" t="s">
        <v>25</v>
      </c>
      <c r="R57">
        <v>7</v>
      </c>
      <c r="S57">
        <v>2022</v>
      </c>
      <c r="T57" t="s">
        <v>51</v>
      </c>
    </row>
    <row r="58" spans="1:20" x14ac:dyDescent="0.3">
      <c r="A58" t="s">
        <v>24</v>
      </c>
      <c r="B58">
        <v>44</v>
      </c>
      <c r="C58" t="s">
        <v>23</v>
      </c>
      <c r="D58">
        <v>139</v>
      </c>
      <c r="E58" s="20">
        <v>44711</v>
      </c>
      <c r="F58">
        <v>38</v>
      </c>
      <c r="G58">
        <v>85</v>
      </c>
      <c r="H58">
        <v>40</v>
      </c>
      <c r="I58">
        <v>2.9</v>
      </c>
      <c r="J58">
        <v>44</v>
      </c>
      <c r="K58">
        <v>27</v>
      </c>
      <c r="L58">
        <v>16</v>
      </c>
      <c r="M58" t="s">
        <v>24</v>
      </c>
      <c r="N58">
        <v>25</v>
      </c>
      <c r="O58" t="s">
        <v>21</v>
      </c>
      <c r="P58">
        <v>6.5</v>
      </c>
      <c r="Q58" t="s">
        <v>25</v>
      </c>
      <c r="R58">
        <v>6.5</v>
      </c>
      <c r="S58">
        <v>2022</v>
      </c>
      <c r="T58" t="s">
        <v>51</v>
      </c>
    </row>
    <row r="59" spans="1:20" x14ac:dyDescent="0.3">
      <c r="A59" t="s">
        <v>24</v>
      </c>
      <c r="B59">
        <v>44</v>
      </c>
      <c r="C59" t="s">
        <v>35</v>
      </c>
      <c r="D59">
        <v>22</v>
      </c>
      <c r="E59" s="20">
        <v>44712</v>
      </c>
      <c r="F59">
        <v>25</v>
      </c>
      <c r="G59">
        <v>83</v>
      </c>
      <c r="H59">
        <v>35</v>
      </c>
      <c r="I59">
        <v>3</v>
      </c>
      <c r="J59">
        <v>43</v>
      </c>
      <c r="K59">
        <v>78</v>
      </c>
      <c r="L59">
        <v>15</v>
      </c>
      <c r="M59" t="s">
        <v>24</v>
      </c>
      <c r="N59">
        <v>23</v>
      </c>
      <c r="O59" t="s">
        <v>21</v>
      </c>
      <c r="P59">
        <v>7</v>
      </c>
      <c r="Q59" t="s">
        <v>25</v>
      </c>
      <c r="R59">
        <v>5</v>
      </c>
      <c r="S59">
        <v>2022</v>
      </c>
      <c r="T59" t="s">
        <v>51</v>
      </c>
    </row>
    <row r="60" spans="1:20" x14ac:dyDescent="0.3">
      <c r="A60" t="s">
        <v>24</v>
      </c>
      <c r="B60">
        <v>44</v>
      </c>
      <c r="C60" t="s">
        <v>19</v>
      </c>
      <c r="D60">
        <v>43</v>
      </c>
      <c r="E60" s="20">
        <v>44722</v>
      </c>
      <c r="F60">
        <v>45</v>
      </c>
      <c r="G60">
        <v>89</v>
      </c>
      <c r="H60">
        <v>45</v>
      </c>
      <c r="I60">
        <v>3.2</v>
      </c>
      <c r="J60">
        <v>45</v>
      </c>
      <c r="K60">
        <v>31</v>
      </c>
      <c r="L60">
        <v>17</v>
      </c>
      <c r="M60" t="s">
        <v>24</v>
      </c>
      <c r="N60">
        <v>26</v>
      </c>
      <c r="O60" t="s">
        <v>21</v>
      </c>
      <c r="P60">
        <v>7</v>
      </c>
      <c r="Q60" t="s">
        <v>25</v>
      </c>
      <c r="R60">
        <v>7</v>
      </c>
      <c r="S60">
        <v>2022</v>
      </c>
      <c r="T60" t="s">
        <v>52</v>
      </c>
    </row>
    <row r="61" spans="1:20" x14ac:dyDescent="0.3">
      <c r="A61" t="s">
        <v>24</v>
      </c>
      <c r="B61">
        <v>44</v>
      </c>
      <c r="C61" t="s">
        <v>23</v>
      </c>
      <c r="D61">
        <v>137</v>
      </c>
      <c r="E61" s="20">
        <v>44723</v>
      </c>
      <c r="F61">
        <v>38</v>
      </c>
      <c r="G61">
        <v>85</v>
      </c>
      <c r="H61">
        <v>40</v>
      </c>
      <c r="I61">
        <v>2.9</v>
      </c>
      <c r="J61">
        <v>44</v>
      </c>
      <c r="K61">
        <v>27</v>
      </c>
      <c r="L61">
        <v>16</v>
      </c>
      <c r="M61" t="s">
        <v>24</v>
      </c>
      <c r="N61">
        <v>25</v>
      </c>
      <c r="O61" t="s">
        <v>21</v>
      </c>
      <c r="P61">
        <v>6.5</v>
      </c>
      <c r="Q61" t="s">
        <v>25</v>
      </c>
      <c r="R61">
        <v>6.5</v>
      </c>
      <c r="S61">
        <v>2022</v>
      </c>
      <c r="T61" t="s">
        <v>52</v>
      </c>
    </row>
    <row r="62" spans="1:20" x14ac:dyDescent="0.3">
      <c r="A62" t="s">
        <v>24</v>
      </c>
      <c r="B62">
        <v>44</v>
      </c>
      <c r="C62" t="s">
        <v>35</v>
      </c>
      <c r="D62">
        <v>20</v>
      </c>
      <c r="E62" s="20">
        <v>44724</v>
      </c>
      <c r="F62">
        <v>25</v>
      </c>
      <c r="G62">
        <v>83</v>
      </c>
      <c r="H62">
        <v>35</v>
      </c>
      <c r="I62">
        <v>3</v>
      </c>
      <c r="J62">
        <v>43</v>
      </c>
      <c r="K62">
        <v>78</v>
      </c>
      <c r="L62">
        <v>15</v>
      </c>
      <c r="M62" t="s">
        <v>24</v>
      </c>
      <c r="N62">
        <v>23</v>
      </c>
      <c r="O62" t="s">
        <v>21</v>
      </c>
      <c r="P62">
        <v>7</v>
      </c>
      <c r="Q62" t="s">
        <v>25</v>
      </c>
      <c r="R62">
        <v>5</v>
      </c>
      <c r="S62">
        <v>2022</v>
      </c>
      <c r="T62" t="s">
        <v>52</v>
      </c>
    </row>
    <row r="63" spans="1:20" x14ac:dyDescent="0.3">
      <c r="A63" t="s">
        <v>24</v>
      </c>
      <c r="B63">
        <v>44</v>
      </c>
      <c r="C63" t="s">
        <v>23</v>
      </c>
      <c r="D63">
        <v>66</v>
      </c>
      <c r="E63" s="20">
        <v>44729</v>
      </c>
      <c r="F63">
        <v>44</v>
      </c>
      <c r="G63">
        <v>91.47</v>
      </c>
      <c r="H63">
        <v>49</v>
      </c>
      <c r="I63">
        <v>2.7</v>
      </c>
      <c r="J63">
        <v>47.8</v>
      </c>
      <c r="K63">
        <v>37</v>
      </c>
      <c r="L63">
        <v>18</v>
      </c>
      <c r="M63" t="s">
        <v>24</v>
      </c>
      <c r="N63">
        <v>27.5</v>
      </c>
      <c r="O63" t="s">
        <v>21</v>
      </c>
      <c r="P63">
        <v>8.1</v>
      </c>
      <c r="Q63" t="s">
        <v>25</v>
      </c>
      <c r="R63">
        <v>6.9</v>
      </c>
      <c r="S63">
        <v>2022</v>
      </c>
      <c r="T63" t="s">
        <v>52</v>
      </c>
    </row>
    <row r="64" spans="1:20" x14ac:dyDescent="0.3">
      <c r="A64" t="s">
        <v>24</v>
      </c>
      <c r="B64">
        <v>44</v>
      </c>
      <c r="C64" t="s">
        <v>19</v>
      </c>
      <c r="D64">
        <v>129</v>
      </c>
      <c r="E64" s="20">
        <v>44734</v>
      </c>
      <c r="F64">
        <v>45</v>
      </c>
      <c r="G64">
        <v>89</v>
      </c>
      <c r="H64">
        <v>47</v>
      </c>
      <c r="I64">
        <v>3.3</v>
      </c>
      <c r="J64">
        <v>45</v>
      </c>
      <c r="K64">
        <v>32</v>
      </c>
      <c r="L64">
        <v>18</v>
      </c>
      <c r="M64" t="s">
        <v>24</v>
      </c>
      <c r="N64">
        <v>27.5</v>
      </c>
      <c r="O64" t="s">
        <v>21</v>
      </c>
      <c r="P64">
        <v>9.5</v>
      </c>
      <c r="Q64" t="s">
        <v>25</v>
      </c>
      <c r="R64">
        <v>8.5</v>
      </c>
      <c r="S64">
        <v>2022</v>
      </c>
      <c r="T64" t="s">
        <v>52</v>
      </c>
    </row>
    <row r="65" spans="1:20" x14ac:dyDescent="0.3">
      <c r="A65" t="s">
        <v>24</v>
      </c>
      <c r="B65">
        <v>44</v>
      </c>
      <c r="C65" t="s">
        <v>19</v>
      </c>
      <c r="D65">
        <v>46</v>
      </c>
      <c r="E65" s="20">
        <v>44751</v>
      </c>
      <c r="F65">
        <v>47</v>
      </c>
      <c r="G65">
        <v>90</v>
      </c>
      <c r="H65">
        <v>47</v>
      </c>
      <c r="I65">
        <v>3.3</v>
      </c>
      <c r="J65">
        <v>45</v>
      </c>
      <c r="K65">
        <v>32</v>
      </c>
      <c r="L65">
        <v>18</v>
      </c>
      <c r="M65" t="s">
        <v>24</v>
      </c>
      <c r="N65">
        <v>27.5</v>
      </c>
      <c r="O65" t="s">
        <v>21</v>
      </c>
      <c r="P65">
        <v>9.5</v>
      </c>
      <c r="Q65" t="s">
        <v>25</v>
      </c>
      <c r="R65">
        <v>8.5</v>
      </c>
      <c r="S65">
        <v>2022</v>
      </c>
      <c r="T65" t="s">
        <v>53</v>
      </c>
    </row>
    <row r="66" spans="1:20" x14ac:dyDescent="0.3">
      <c r="A66" t="s">
        <v>24</v>
      </c>
      <c r="B66">
        <v>44</v>
      </c>
      <c r="C66" t="s">
        <v>23</v>
      </c>
      <c r="D66">
        <v>139</v>
      </c>
      <c r="E66" s="20">
        <v>44752</v>
      </c>
      <c r="F66">
        <v>39</v>
      </c>
      <c r="G66">
        <v>87</v>
      </c>
      <c r="H66">
        <v>41</v>
      </c>
      <c r="I66">
        <v>3</v>
      </c>
      <c r="J66">
        <v>44</v>
      </c>
      <c r="K66">
        <v>27</v>
      </c>
      <c r="L66">
        <v>17</v>
      </c>
      <c r="M66" t="s">
        <v>24</v>
      </c>
      <c r="N66">
        <v>26</v>
      </c>
      <c r="O66" t="s">
        <v>21</v>
      </c>
      <c r="P66">
        <v>8</v>
      </c>
      <c r="Q66" t="s">
        <v>25</v>
      </c>
      <c r="R66">
        <v>7.5</v>
      </c>
      <c r="S66">
        <v>2022</v>
      </c>
      <c r="T66" t="s">
        <v>53</v>
      </c>
    </row>
    <row r="67" spans="1:20" x14ac:dyDescent="0.3">
      <c r="A67" t="s">
        <v>24</v>
      </c>
      <c r="B67">
        <v>44</v>
      </c>
      <c r="C67" t="s">
        <v>35</v>
      </c>
      <c r="D67">
        <v>29</v>
      </c>
      <c r="E67" s="20">
        <v>44753</v>
      </c>
      <c r="F67">
        <v>25</v>
      </c>
      <c r="G67">
        <v>85</v>
      </c>
      <c r="H67">
        <v>35</v>
      </c>
      <c r="I67">
        <v>3</v>
      </c>
      <c r="J67">
        <v>43</v>
      </c>
      <c r="K67">
        <v>78</v>
      </c>
      <c r="L67">
        <v>16.5</v>
      </c>
      <c r="M67" t="s">
        <v>24</v>
      </c>
      <c r="N67">
        <v>25</v>
      </c>
      <c r="O67" t="s">
        <v>21</v>
      </c>
      <c r="P67">
        <v>7</v>
      </c>
      <c r="Q67" t="s">
        <v>25</v>
      </c>
      <c r="R67">
        <v>6</v>
      </c>
      <c r="S67">
        <v>2022</v>
      </c>
      <c r="T67" t="s">
        <v>53</v>
      </c>
    </row>
    <row r="68" spans="1:20" x14ac:dyDescent="0.3">
      <c r="A68" t="s">
        <v>24</v>
      </c>
      <c r="B68">
        <v>44</v>
      </c>
      <c r="C68" t="s">
        <v>23</v>
      </c>
      <c r="D68">
        <v>35</v>
      </c>
      <c r="E68" s="20">
        <v>44763</v>
      </c>
      <c r="F68">
        <v>32</v>
      </c>
      <c r="G68">
        <v>85.3</v>
      </c>
      <c r="H68">
        <v>35</v>
      </c>
      <c r="I68">
        <v>2.5</v>
      </c>
      <c r="J68">
        <v>45</v>
      </c>
      <c r="K68">
        <v>29</v>
      </c>
      <c r="L68">
        <v>17.5</v>
      </c>
      <c r="M68" t="s">
        <v>24</v>
      </c>
      <c r="N68">
        <v>26</v>
      </c>
      <c r="O68" t="s">
        <v>21</v>
      </c>
      <c r="P68">
        <v>7.5</v>
      </c>
      <c r="Q68" t="s">
        <v>25</v>
      </c>
      <c r="R68">
        <v>6.3</v>
      </c>
      <c r="S68">
        <v>2022</v>
      </c>
      <c r="T68" t="s">
        <v>53</v>
      </c>
    </row>
    <row r="69" spans="1:20" x14ac:dyDescent="0.3">
      <c r="A69" t="s">
        <v>32</v>
      </c>
      <c r="B69">
        <v>33</v>
      </c>
      <c r="C69" t="s">
        <v>19</v>
      </c>
      <c r="D69">
        <v>30</v>
      </c>
      <c r="E69" s="20">
        <v>44580</v>
      </c>
      <c r="F69">
        <v>18</v>
      </c>
      <c r="G69">
        <v>65.34</v>
      </c>
      <c r="H69">
        <v>15</v>
      </c>
      <c r="I69">
        <v>4.0999999999999996</v>
      </c>
      <c r="J69">
        <v>52.3</v>
      </c>
      <c r="K69">
        <v>94</v>
      </c>
      <c r="L69">
        <v>16.2</v>
      </c>
      <c r="M69" t="s">
        <v>24</v>
      </c>
      <c r="N69">
        <v>18.899999999999999</v>
      </c>
      <c r="O69" t="s">
        <v>33</v>
      </c>
      <c r="P69">
        <v>13.8</v>
      </c>
      <c r="Q69" t="s">
        <v>34</v>
      </c>
      <c r="R69">
        <v>10.7</v>
      </c>
      <c r="S69">
        <v>2022</v>
      </c>
      <c r="T69" t="s">
        <v>47</v>
      </c>
    </row>
    <row r="70" spans="1:20" x14ac:dyDescent="0.3">
      <c r="A70" t="s">
        <v>32</v>
      </c>
      <c r="B70">
        <v>33</v>
      </c>
      <c r="C70" t="s">
        <v>23</v>
      </c>
      <c r="D70">
        <v>26</v>
      </c>
      <c r="E70" s="20">
        <v>44581</v>
      </c>
      <c r="F70">
        <v>13</v>
      </c>
      <c r="G70">
        <v>60.2</v>
      </c>
      <c r="H70">
        <v>16</v>
      </c>
      <c r="I70">
        <v>3.8</v>
      </c>
      <c r="J70">
        <v>50.5</v>
      </c>
      <c r="K70">
        <v>75</v>
      </c>
      <c r="L70">
        <v>15</v>
      </c>
      <c r="M70" t="s">
        <v>24</v>
      </c>
      <c r="N70">
        <v>17.8</v>
      </c>
      <c r="O70" t="s">
        <v>33</v>
      </c>
      <c r="P70">
        <v>12</v>
      </c>
      <c r="Q70" t="s">
        <v>34</v>
      </c>
      <c r="R70">
        <v>9.5</v>
      </c>
      <c r="S70">
        <v>2022</v>
      </c>
      <c r="T70" t="s">
        <v>47</v>
      </c>
    </row>
    <row r="71" spans="1:20" x14ac:dyDescent="0.3">
      <c r="A71" t="s">
        <v>32</v>
      </c>
      <c r="B71">
        <v>33</v>
      </c>
      <c r="C71" t="s">
        <v>19</v>
      </c>
      <c r="D71">
        <v>134</v>
      </c>
      <c r="E71" s="20">
        <v>44592</v>
      </c>
      <c r="F71">
        <v>17</v>
      </c>
      <c r="G71">
        <v>65.34</v>
      </c>
      <c r="H71">
        <v>26</v>
      </c>
      <c r="I71">
        <v>4.0999999999999996</v>
      </c>
      <c r="J71">
        <v>52.3</v>
      </c>
      <c r="K71">
        <v>93</v>
      </c>
      <c r="L71">
        <v>16.2</v>
      </c>
      <c r="M71" t="s">
        <v>24</v>
      </c>
      <c r="N71">
        <v>18.899999999999999</v>
      </c>
      <c r="O71" t="s">
        <v>33</v>
      </c>
      <c r="P71">
        <v>13.8</v>
      </c>
      <c r="Q71" t="s">
        <v>34</v>
      </c>
      <c r="R71">
        <v>10.7</v>
      </c>
      <c r="S71">
        <v>2022</v>
      </c>
      <c r="T71" t="s">
        <v>47</v>
      </c>
    </row>
    <row r="72" spans="1:20" x14ac:dyDescent="0.3">
      <c r="A72" t="s">
        <v>32</v>
      </c>
      <c r="B72">
        <v>33</v>
      </c>
      <c r="C72" t="s">
        <v>23</v>
      </c>
      <c r="D72">
        <v>27</v>
      </c>
      <c r="E72" s="20">
        <v>44593</v>
      </c>
      <c r="F72">
        <v>13</v>
      </c>
      <c r="G72">
        <v>60.2</v>
      </c>
      <c r="H72">
        <v>27</v>
      </c>
      <c r="I72">
        <v>3.6</v>
      </c>
      <c r="J72">
        <v>50.5</v>
      </c>
      <c r="K72">
        <v>76</v>
      </c>
      <c r="L72">
        <v>15</v>
      </c>
      <c r="M72" t="s">
        <v>24</v>
      </c>
      <c r="N72">
        <v>17.8</v>
      </c>
      <c r="O72" t="s">
        <v>33</v>
      </c>
      <c r="P72">
        <v>12</v>
      </c>
      <c r="Q72" t="s">
        <v>34</v>
      </c>
      <c r="R72">
        <v>9.5</v>
      </c>
      <c r="S72">
        <v>2022</v>
      </c>
      <c r="T72" t="s">
        <v>48</v>
      </c>
    </row>
    <row r="73" spans="1:20" x14ac:dyDescent="0.3">
      <c r="A73" t="s">
        <v>32</v>
      </c>
      <c r="B73">
        <v>33</v>
      </c>
      <c r="C73" t="s">
        <v>19</v>
      </c>
      <c r="D73">
        <v>87</v>
      </c>
      <c r="E73" s="20">
        <v>44604</v>
      </c>
      <c r="F73">
        <v>19</v>
      </c>
      <c r="G73">
        <v>65.34</v>
      </c>
      <c r="H73">
        <v>26</v>
      </c>
      <c r="I73">
        <v>4.0999999999999996</v>
      </c>
      <c r="J73">
        <v>52.3</v>
      </c>
      <c r="K73">
        <v>93</v>
      </c>
      <c r="L73">
        <v>16.2</v>
      </c>
      <c r="M73" t="s">
        <v>24</v>
      </c>
      <c r="N73">
        <v>18.899999999999999</v>
      </c>
      <c r="O73" t="s">
        <v>33</v>
      </c>
      <c r="P73">
        <v>13.8</v>
      </c>
      <c r="Q73" t="s">
        <v>34</v>
      </c>
      <c r="R73">
        <v>10.7</v>
      </c>
      <c r="S73">
        <v>2022</v>
      </c>
      <c r="T73" t="s">
        <v>48</v>
      </c>
    </row>
    <row r="74" spans="1:20" x14ac:dyDescent="0.3">
      <c r="A74" t="s">
        <v>32</v>
      </c>
      <c r="B74">
        <v>33</v>
      </c>
      <c r="C74" t="s">
        <v>23</v>
      </c>
      <c r="D74">
        <v>250</v>
      </c>
      <c r="E74" s="20">
        <v>44605</v>
      </c>
      <c r="F74">
        <v>15</v>
      </c>
      <c r="G74">
        <v>60.2</v>
      </c>
      <c r="H74">
        <v>27</v>
      </c>
      <c r="I74">
        <v>3.8</v>
      </c>
      <c r="J74">
        <v>50.5</v>
      </c>
      <c r="K74">
        <v>75</v>
      </c>
      <c r="L74">
        <v>15</v>
      </c>
      <c r="M74" t="s">
        <v>24</v>
      </c>
      <c r="N74">
        <v>17.8</v>
      </c>
      <c r="O74" t="s">
        <v>33</v>
      </c>
      <c r="P74">
        <v>12</v>
      </c>
      <c r="Q74" t="s">
        <v>34</v>
      </c>
      <c r="R74">
        <v>9.5</v>
      </c>
      <c r="S74">
        <v>2022</v>
      </c>
      <c r="T74" t="s">
        <v>48</v>
      </c>
    </row>
    <row r="75" spans="1:20" x14ac:dyDescent="0.3">
      <c r="A75" t="s">
        <v>32</v>
      </c>
      <c r="B75">
        <v>33</v>
      </c>
      <c r="C75" t="s">
        <v>19</v>
      </c>
      <c r="D75">
        <v>38</v>
      </c>
      <c r="E75" s="20">
        <v>44616</v>
      </c>
      <c r="F75">
        <v>19</v>
      </c>
      <c r="G75">
        <v>65.34</v>
      </c>
      <c r="H75">
        <v>26</v>
      </c>
      <c r="I75">
        <v>4.0999999999999996</v>
      </c>
      <c r="J75">
        <v>20</v>
      </c>
      <c r="K75">
        <v>93</v>
      </c>
      <c r="L75">
        <v>16.2</v>
      </c>
      <c r="M75" t="s">
        <v>24</v>
      </c>
      <c r="N75">
        <v>18.899999999999999</v>
      </c>
      <c r="O75" t="s">
        <v>33</v>
      </c>
      <c r="P75">
        <v>13.8</v>
      </c>
      <c r="Q75" t="s">
        <v>34</v>
      </c>
      <c r="R75">
        <v>10.7</v>
      </c>
      <c r="S75">
        <v>2022</v>
      </c>
      <c r="T75" t="s">
        <v>48</v>
      </c>
    </row>
    <row r="76" spans="1:20" x14ac:dyDescent="0.3">
      <c r="A76" t="s">
        <v>32</v>
      </c>
      <c r="B76">
        <v>33</v>
      </c>
      <c r="C76" t="s">
        <v>23</v>
      </c>
      <c r="D76">
        <v>25</v>
      </c>
      <c r="E76" s="20">
        <v>44617</v>
      </c>
      <c r="F76">
        <v>15</v>
      </c>
      <c r="G76">
        <v>60.2</v>
      </c>
      <c r="H76">
        <v>27</v>
      </c>
      <c r="I76">
        <v>3.8</v>
      </c>
      <c r="J76">
        <v>50.5</v>
      </c>
      <c r="K76">
        <v>75</v>
      </c>
      <c r="L76">
        <v>15</v>
      </c>
      <c r="M76" t="s">
        <v>24</v>
      </c>
      <c r="N76">
        <v>17.8</v>
      </c>
      <c r="O76" t="s">
        <v>33</v>
      </c>
      <c r="P76">
        <v>12</v>
      </c>
      <c r="Q76" t="s">
        <v>34</v>
      </c>
      <c r="R76">
        <v>9.5</v>
      </c>
      <c r="S76">
        <v>2022</v>
      </c>
      <c r="T76" t="s">
        <v>48</v>
      </c>
    </row>
    <row r="77" spans="1:20" x14ac:dyDescent="0.3">
      <c r="A77" t="s">
        <v>32</v>
      </c>
      <c r="B77">
        <v>33</v>
      </c>
      <c r="C77" t="s">
        <v>19</v>
      </c>
      <c r="D77">
        <v>38</v>
      </c>
      <c r="E77" s="20">
        <v>44628</v>
      </c>
      <c r="F77">
        <v>19</v>
      </c>
      <c r="G77">
        <v>65.34</v>
      </c>
      <c r="H77">
        <v>26</v>
      </c>
      <c r="I77">
        <v>4.0999999999999996</v>
      </c>
      <c r="J77">
        <v>52.3</v>
      </c>
      <c r="K77">
        <v>93</v>
      </c>
      <c r="L77">
        <v>16.2</v>
      </c>
      <c r="M77" t="s">
        <v>24</v>
      </c>
      <c r="N77">
        <v>18.899999999999999</v>
      </c>
      <c r="O77" t="s">
        <v>33</v>
      </c>
      <c r="P77">
        <v>13.8</v>
      </c>
      <c r="Q77" t="s">
        <v>34</v>
      </c>
      <c r="R77">
        <v>10.7</v>
      </c>
      <c r="S77">
        <v>2022</v>
      </c>
      <c r="T77" t="s">
        <v>49</v>
      </c>
    </row>
    <row r="78" spans="1:20" x14ac:dyDescent="0.3">
      <c r="A78" t="s">
        <v>32</v>
      </c>
      <c r="B78">
        <v>33</v>
      </c>
      <c r="C78" t="s">
        <v>23</v>
      </c>
      <c r="D78">
        <v>125</v>
      </c>
      <c r="E78" s="20">
        <v>44629</v>
      </c>
      <c r="F78">
        <v>15</v>
      </c>
      <c r="G78">
        <v>60.2</v>
      </c>
      <c r="H78">
        <v>27</v>
      </c>
      <c r="I78">
        <v>3.8</v>
      </c>
      <c r="J78">
        <v>50.5</v>
      </c>
      <c r="K78">
        <v>75</v>
      </c>
      <c r="L78">
        <v>15</v>
      </c>
      <c r="M78" t="s">
        <v>24</v>
      </c>
      <c r="N78">
        <v>17.8</v>
      </c>
      <c r="O78" t="s">
        <v>33</v>
      </c>
      <c r="P78">
        <v>12</v>
      </c>
      <c r="Q78" t="s">
        <v>34</v>
      </c>
      <c r="R78">
        <v>9.5</v>
      </c>
      <c r="S78">
        <v>2022</v>
      </c>
      <c r="T78" t="s">
        <v>49</v>
      </c>
    </row>
    <row r="79" spans="1:20" x14ac:dyDescent="0.3">
      <c r="A79" t="s">
        <v>32</v>
      </c>
      <c r="B79">
        <v>33</v>
      </c>
      <c r="C79" t="s">
        <v>19</v>
      </c>
      <c r="D79">
        <v>32</v>
      </c>
      <c r="E79" s="20">
        <v>44640</v>
      </c>
      <c r="F79">
        <v>19</v>
      </c>
      <c r="G79">
        <v>65.34</v>
      </c>
      <c r="H79">
        <v>26</v>
      </c>
      <c r="I79">
        <v>4.2</v>
      </c>
      <c r="J79">
        <v>2</v>
      </c>
      <c r="K79">
        <v>94</v>
      </c>
      <c r="L79">
        <v>16.2</v>
      </c>
      <c r="M79" t="s">
        <v>24</v>
      </c>
      <c r="N79">
        <v>18.899999999999999</v>
      </c>
      <c r="O79" t="s">
        <v>33</v>
      </c>
      <c r="P79">
        <v>13.8</v>
      </c>
      <c r="Q79" t="s">
        <v>34</v>
      </c>
      <c r="R79">
        <v>10.7</v>
      </c>
      <c r="S79">
        <v>2022</v>
      </c>
      <c r="T79" t="s">
        <v>49</v>
      </c>
    </row>
    <row r="80" spans="1:20" x14ac:dyDescent="0.3">
      <c r="A80" t="s">
        <v>32</v>
      </c>
      <c r="B80">
        <v>33</v>
      </c>
      <c r="C80" t="s">
        <v>23</v>
      </c>
      <c r="D80">
        <v>29</v>
      </c>
      <c r="E80" s="20">
        <v>44641</v>
      </c>
      <c r="F80">
        <v>14</v>
      </c>
      <c r="G80">
        <v>60.2</v>
      </c>
      <c r="H80">
        <v>27</v>
      </c>
      <c r="I80">
        <v>3.9</v>
      </c>
      <c r="J80">
        <v>50.5</v>
      </c>
      <c r="K80">
        <v>75</v>
      </c>
      <c r="L80">
        <v>15</v>
      </c>
      <c r="M80" t="s">
        <v>24</v>
      </c>
      <c r="N80">
        <v>17.8</v>
      </c>
      <c r="O80" t="s">
        <v>33</v>
      </c>
      <c r="P80">
        <v>12</v>
      </c>
      <c r="Q80" t="s">
        <v>34</v>
      </c>
      <c r="R80">
        <v>9.5</v>
      </c>
      <c r="S80">
        <v>2022</v>
      </c>
      <c r="T80" t="s">
        <v>49</v>
      </c>
    </row>
    <row r="81" spans="1:20" x14ac:dyDescent="0.3">
      <c r="A81" t="s">
        <v>32</v>
      </c>
      <c r="B81">
        <v>33</v>
      </c>
      <c r="C81" t="s">
        <v>19</v>
      </c>
      <c r="D81">
        <v>32</v>
      </c>
      <c r="E81" s="20">
        <v>44652</v>
      </c>
      <c r="F81">
        <v>19</v>
      </c>
      <c r="G81">
        <v>65.34</v>
      </c>
      <c r="H81">
        <v>26</v>
      </c>
      <c r="I81">
        <v>4.2</v>
      </c>
      <c r="J81">
        <v>52.3</v>
      </c>
      <c r="K81">
        <v>94</v>
      </c>
      <c r="L81">
        <v>16.2</v>
      </c>
      <c r="M81" t="s">
        <v>24</v>
      </c>
      <c r="N81">
        <v>18.899999999999999</v>
      </c>
      <c r="O81" t="s">
        <v>33</v>
      </c>
      <c r="P81">
        <v>13.8</v>
      </c>
      <c r="Q81" t="s">
        <v>34</v>
      </c>
      <c r="R81">
        <v>10.7</v>
      </c>
      <c r="S81">
        <v>2022</v>
      </c>
      <c r="T81" t="s">
        <v>50</v>
      </c>
    </row>
    <row r="82" spans="1:20" x14ac:dyDescent="0.3">
      <c r="A82" t="s">
        <v>32</v>
      </c>
      <c r="B82">
        <v>33</v>
      </c>
      <c r="C82" t="s">
        <v>23</v>
      </c>
      <c r="D82">
        <v>129</v>
      </c>
      <c r="E82" s="20">
        <v>44653</v>
      </c>
      <c r="F82">
        <v>14</v>
      </c>
      <c r="G82">
        <v>60.2</v>
      </c>
      <c r="H82">
        <v>27</v>
      </c>
      <c r="I82">
        <v>3.9</v>
      </c>
      <c r="J82">
        <v>50.5</v>
      </c>
      <c r="K82">
        <v>75</v>
      </c>
      <c r="L82">
        <v>15</v>
      </c>
      <c r="M82" t="s">
        <v>24</v>
      </c>
      <c r="N82">
        <v>17.8</v>
      </c>
      <c r="O82" t="s">
        <v>33</v>
      </c>
      <c r="P82">
        <v>12</v>
      </c>
      <c r="Q82" t="s">
        <v>34</v>
      </c>
      <c r="R82">
        <v>9.5</v>
      </c>
      <c r="S82">
        <v>2022</v>
      </c>
      <c r="T82" t="s">
        <v>50</v>
      </c>
    </row>
    <row r="83" spans="1:20" x14ac:dyDescent="0.3">
      <c r="A83" t="s">
        <v>32</v>
      </c>
      <c r="B83">
        <v>33</v>
      </c>
      <c r="C83" t="s">
        <v>19</v>
      </c>
      <c r="D83">
        <v>133</v>
      </c>
      <c r="E83" s="20">
        <v>44664</v>
      </c>
      <c r="F83">
        <v>20</v>
      </c>
      <c r="G83">
        <v>63</v>
      </c>
      <c r="H83">
        <v>28</v>
      </c>
      <c r="I83">
        <v>4.3</v>
      </c>
      <c r="J83">
        <v>53</v>
      </c>
      <c r="K83">
        <v>96</v>
      </c>
      <c r="L83">
        <v>15</v>
      </c>
      <c r="M83" t="s">
        <v>24</v>
      </c>
      <c r="N83">
        <v>19</v>
      </c>
      <c r="O83" t="s">
        <v>33</v>
      </c>
      <c r="P83">
        <v>14</v>
      </c>
      <c r="Q83" t="s">
        <v>34</v>
      </c>
      <c r="R83">
        <v>11</v>
      </c>
      <c r="S83">
        <v>2022</v>
      </c>
      <c r="T83" t="s">
        <v>50</v>
      </c>
    </row>
    <row r="84" spans="1:20" x14ac:dyDescent="0.3">
      <c r="A84" t="s">
        <v>32</v>
      </c>
      <c r="B84">
        <v>33</v>
      </c>
      <c r="C84" t="s">
        <v>23</v>
      </c>
      <c r="D84">
        <v>26</v>
      </c>
      <c r="E84" s="20">
        <v>44665</v>
      </c>
      <c r="F84">
        <v>15</v>
      </c>
      <c r="G84">
        <v>59</v>
      </c>
      <c r="H84">
        <v>29</v>
      </c>
      <c r="I84">
        <v>3.9</v>
      </c>
      <c r="J84">
        <v>51</v>
      </c>
      <c r="K84">
        <v>80</v>
      </c>
      <c r="L84">
        <v>14</v>
      </c>
      <c r="M84" t="s">
        <v>24</v>
      </c>
      <c r="N84">
        <v>18</v>
      </c>
      <c r="O84" t="s">
        <v>33</v>
      </c>
      <c r="P84">
        <v>13</v>
      </c>
      <c r="Q84" t="s">
        <v>34</v>
      </c>
      <c r="R84">
        <v>10</v>
      </c>
      <c r="S84">
        <v>2022</v>
      </c>
      <c r="T84" t="s">
        <v>50</v>
      </c>
    </row>
    <row r="85" spans="1:20" x14ac:dyDescent="0.3">
      <c r="A85" t="s">
        <v>32</v>
      </c>
      <c r="B85">
        <v>33</v>
      </c>
      <c r="C85" t="s">
        <v>19</v>
      </c>
      <c r="D85">
        <v>32</v>
      </c>
      <c r="E85" s="20">
        <v>44687</v>
      </c>
      <c r="F85">
        <v>19</v>
      </c>
      <c r="G85">
        <v>65.34</v>
      </c>
      <c r="H85">
        <v>27</v>
      </c>
      <c r="I85">
        <v>4.2</v>
      </c>
      <c r="J85">
        <v>52.3</v>
      </c>
      <c r="K85">
        <v>94</v>
      </c>
      <c r="L85">
        <v>16.2</v>
      </c>
      <c r="M85" t="s">
        <v>24</v>
      </c>
      <c r="N85">
        <v>18.899999999999999</v>
      </c>
      <c r="O85" t="s">
        <v>33</v>
      </c>
      <c r="P85">
        <v>13.8</v>
      </c>
      <c r="Q85" t="s">
        <v>34</v>
      </c>
      <c r="R85">
        <v>10.7</v>
      </c>
      <c r="S85">
        <v>2022</v>
      </c>
      <c r="T85" t="s">
        <v>51</v>
      </c>
    </row>
    <row r="86" spans="1:20" x14ac:dyDescent="0.3">
      <c r="A86" t="s">
        <v>32</v>
      </c>
      <c r="B86">
        <v>33</v>
      </c>
      <c r="C86" t="s">
        <v>23</v>
      </c>
      <c r="D86">
        <v>29</v>
      </c>
      <c r="E86" s="20">
        <v>44688</v>
      </c>
      <c r="F86">
        <v>14</v>
      </c>
      <c r="G86">
        <v>60.2</v>
      </c>
      <c r="H86">
        <v>28</v>
      </c>
      <c r="I86">
        <v>3.9</v>
      </c>
      <c r="J86">
        <v>50.5</v>
      </c>
      <c r="K86">
        <v>75</v>
      </c>
      <c r="L86">
        <v>15</v>
      </c>
      <c r="M86" t="s">
        <v>24</v>
      </c>
      <c r="N86">
        <v>17.8</v>
      </c>
      <c r="O86" t="s">
        <v>33</v>
      </c>
      <c r="P86">
        <v>12</v>
      </c>
      <c r="Q86" t="s">
        <v>34</v>
      </c>
      <c r="R86">
        <v>9.5</v>
      </c>
      <c r="S86">
        <v>2022</v>
      </c>
      <c r="T86" t="s">
        <v>51</v>
      </c>
    </row>
    <row r="87" spans="1:20" x14ac:dyDescent="0.3">
      <c r="A87" t="s">
        <v>32</v>
      </c>
      <c r="B87">
        <v>33</v>
      </c>
      <c r="C87" t="s">
        <v>35</v>
      </c>
      <c r="D87">
        <v>2</v>
      </c>
      <c r="E87" s="20">
        <v>44689</v>
      </c>
      <c r="F87">
        <v>10</v>
      </c>
      <c r="G87">
        <v>58</v>
      </c>
      <c r="H87">
        <v>29</v>
      </c>
      <c r="I87">
        <v>3.6</v>
      </c>
      <c r="J87">
        <v>48</v>
      </c>
      <c r="K87">
        <v>51</v>
      </c>
      <c r="L87">
        <v>13</v>
      </c>
      <c r="M87" t="s">
        <v>24</v>
      </c>
      <c r="N87">
        <v>16</v>
      </c>
      <c r="O87" t="s">
        <v>33</v>
      </c>
      <c r="P87">
        <v>11</v>
      </c>
      <c r="Q87" t="s">
        <v>34</v>
      </c>
      <c r="R87">
        <v>8</v>
      </c>
      <c r="S87">
        <v>2022</v>
      </c>
      <c r="T87" t="s">
        <v>51</v>
      </c>
    </row>
    <row r="88" spans="1:20" x14ac:dyDescent="0.3">
      <c r="A88" t="s">
        <v>32</v>
      </c>
      <c r="B88">
        <v>33</v>
      </c>
      <c r="C88" t="s">
        <v>19</v>
      </c>
      <c r="D88">
        <v>33</v>
      </c>
      <c r="E88" s="20">
        <v>44704</v>
      </c>
      <c r="F88">
        <v>20</v>
      </c>
      <c r="G88">
        <v>63</v>
      </c>
      <c r="H88">
        <v>26</v>
      </c>
      <c r="I88">
        <v>4.3</v>
      </c>
      <c r="J88">
        <v>53</v>
      </c>
      <c r="K88">
        <v>96</v>
      </c>
      <c r="L88">
        <v>15</v>
      </c>
      <c r="M88" t="s">
        <v>24</v>
      </c>
      <c r="N88">
        <v>19</v>
      </c>
      <c r="O88" t="s">
        <v>33</v>
      </c>
      <c r="P88">
        <v>14</v>
      </c>
      <c r="Q88" t="s">
        <v>34</v>
      </c>
      <c r="R88">
        <v>11</v>
      </c>
      <c r="S88">
        <v>2022</v>
      </c>
      <c r="T88" t="s">
        <v>51</v>
      </c>
    </row>
    <row r="89" spans="1:20" x14ac:dyDescent="0.3">
      <c r="A89" t="s">
        <v>32</v>
      </c>
      <c r="B89">
        <v>33</v>
      </c>
      <c r="C89" t="s">
        <v>23</v>
      </c>
      <c r="D89">
        <v>29</v>
      </c>
      <c r="E89" s="20">
        <v>44705</v>
      </c>
      <c r="F89">
        <v>15</v>
      </c>
      <c r="G89">
        <v>59</v>
      </c>
      <c r="H89">
        <v>27</v>
      </c>
      <c r="I89">
        <v>3.9</v>
      </c>
      <c r="J89">
        <v>51</v>
      </c>
      <c r="K89">
        <v>80</v>
      </c>
      <c r="L89">
        <v>14</v>
      </c>
      <c r="M89" t="s">
        <v>24</v>
      </c>
      <c r="N89">
        <v>18</v>
      </c>
      <c r="O89" t="s">
        <v>33</v>
      </c>
      <c r="P89">
        <v>13</v>
      </c>
      <c r="Q89" t="s">
        <v>34</v>
      </c>
      <c r="R89">
        <v>10</v>
      </c>
      <c r="S89">
        <v>2022</v>
      </c>
      <c r="T89" t="s">
        <v>51</v>
      </c>
    </row>
    <row r="90" spans="1:20" x14ac:dyDescent="0.3">
      <c r="A90" t="s">
        <v>32</v>
      </c>
      <c r="B90">
        <v>33</v>
      </c>
      <c r="C90" t="s">
        <v>35</v>
      </c>
      <c r="D90">
        <v>2</v>
      </c>
      <c r="E90" s="20">
        <v>44706</v>
      </c>
      <c r="F90">
        <v>10</v>
      </c>
      <c r="G90">
        <v>58</v>
      </c>
      <c r="H90">
        <v>28</v>
      </c>
      <c r="I90">
        <v>3.6</v>
      </c>
      <c r="J90">
        <v>48</v>
      </c>
      <c r="K90">
        <v>51</v>
      </c>
      <c r="L90">
        <v>13</v>
      </c>
      <c r="M90" t="s">
        <v>24</v>
      </c>
      <c r="N90">
        <v>16</v>
      </c>
      <c r="O90" t="s">
        <v>33</v>
      </c>
      <c r="P90">
        <v>11</v>
      </c>
      <c r="Q90" t="s">
        <v>34</v>
      </c>
      <c r="R90">
        <v>8</v>
      </c>
      <c r="S90">
        <v>2022</v>
      </c>
      <c r="T90" t="s">
        <v>51</v>
      </c>
    </row>
    <row r="91" spans="1:20" x14ac:dyDescent="0.3">
      <c r="A91" t="s">
        <v>32</v>
      </c>
      <c r="B91">
        <v>33</v>
      </c>
      <c r="C91" t="s">
        <v>19</v>
      </c>
      <c r="D91">
        <v>34</v>
      </c>
      <c r="E91" s="20">
        <v>44716</v>
      </c>
      <c r="F91">
        <v>20</v>
      </c>
      <c r="G91">
        <v>63</v>
      </c>
      <c r="H91">
        <v>26</v>
      </c>
      <c r="I91">
        <v>4.3</v>
      </c>
      <c r="J91">
        <v>53</v>
      </c>
      <c r="K91">
        <v>96</v>
      </c>
      <c r="L91">
        <v>15</v>
      </c>
      <c r="M91" t="s">
        <v>24</v>
      </c>
      <c r="N91">
        <v>19</v>
      </c>
      <c r="O91" t="s">
        <v>33</v>
      </c>
      <c r="P91">
        <v>14</v>
      </c>
      <c r="Q91" t="s">
        <v>34</v>
      </c>
      <c r="R91">
        <v>11</v>
      </c>
      <c r="S91">
        <v>2022</v>
      </c>
      <c r="T91" t="s">
        <v>52</v>
      </c>
    </row>
    <row r="92" spans="1:20" x14ac:dyDescent="0.3">
      <c r="A92" t="s">
        <v>32</v>
      </c>
      <c r="B92">
        <v>33</v>
      </c>
      <c r="C92" t="s">
        <v>23</v>
      </c>
      <c r="D92">
        <v>30</v>
      </c>
      <c r="E92" s="20">
        <v>44717</v>
      </c>
      <c r="F92">
        <v>15</v>
      </c>
      <c r="G92">
        <v>59</v>
      </c>
      <c r="H92">
        <v>27</v>
      </c>
      <c r="I92">
        <v>3.9</v>
      </c>
      <c r="J92">
        <v>51</v>
      </c>
      <c r="K92">
        <v>80</v>
      </c>
      <c r="L92">
        <v>14</v>
      </c>
      <c r="M92" t="s">
        <v>24</v>
      </c>
      <c r="N92">
        <v>18</v>
      </c>
      <c r="O92" t="s">
        <v>33</v>
      </c>
      <c r="P92">
        <v>13</v>
      </c>
      <c r="Q92" t="s">
        <v>34</v>
      </c>
      <c r="R92">
        <v>10</v>
      </c>
      <c r="S92">
        <v>2022</v>
      </c>
      <c r="T92" t="s">
        <v>52</v>
      </c>
    </row>
    <row r="93" spans="1:20" x14ac:dyDescent="0.3">
      <c r="A93" t="s">
        <v>32</v>
      </c>
      <c r="B93">
        <v>33</v>
      </c>
      <c r="C93" t="s">
        <v>35</v>
      </c>
      <c r="D93">
        <v>4</v>
      </c>
      <c r="E93" s="20">
        <v>44718</v>
      </c>
      <c r="F93">
        <v>10</v>
      </c>
      <c r="G93">
        <v>58</v>
      </c>
      <c r="H93">
        <v>28</v>
      </c>
      <c r="I93">
        <v>3.6</v>
      </c>
      <c r="J93">
        <v>48</v>
      </c>
      <c r="K93">
        <v>51</v>
      </c>
      <c r="L93">
        <v>13</v>
      </c>
      <c r="M93" t="s">
        <v>24</v>
      </c>
      <c r="N93">
        <v>16</v>
      </c>
      <c r="O93" t="s">
        <v>33</v>
      </c>
      <c r="P93">
        <v>11</v>
      </c>
      <c r="Q93" t="s">
        <v>34</v>
      </c>
      <c r="R93">
        <v>8</v>
      </c>
      <c r="S93">
        <v>2022</v>
      </c>
      <c r="T93" t="s">
        <v>52</v>
      </c>
    </row>
    <row r="94" spans="1:20" x14ac:dyDescent="0.3">
      <c r="A94" t="s">
        <v>32</v>
      </c>
      <c r="B94">
        <v>33</v>
      </c>
      <c r="C94" t="s">
        <v>19</v>
      </c>
      <c r="D94">
        <v>34</v>
      </c>
      <c r="E94" s="20">
        <v>44736</v>
      </c>
      <c r="F94">
        <v>20</v>
      </c>
      <c r="G94">
        <v>63</v>
      </c>
      <c r="H94">
        <v>77</v>
      </c>
      <c r="I94">
        <v>4.3</v>
      </c>
      <c r="J94">
        <v>53</v>
      </c>
      <c r="K94">
        <v>96</v>
      </c>
      <c r="L94">
        <v>15</v>
      </c>
      <c r="M94" t="s">
        <v>24</v>
      </c>
      <c r="N94">
        <v>19</v>
      </c>
      <c r="O94" t="s">
        <v>33</v>
      </c>
      <c r="P94">
        <v>14</v>
      </c>
      <c r="Q94" t="s">
        <v>34</v>
      </c>
      <c r="R94">
        <v>11</v>
      </c>
      <c r="S94">
        <v>2022</v>
      </c>
      <c r="T94" t="s">
        <v>52</v>
      </c>
    </row>
    <row r="95" spans="1:20" x14ac:dyDescent="0.3">
      <c r="A95" t="s">
        <v>32</v>
      </c>
      <c r="B95">
        <v>33</v>
      </c>
      <c r="C95" t="s">
        <v>23</v>
      </c>
      <c r="D95">
        <v>30</v>
      </c>
      <c r="E95" s="20">
        <v>44737</v>
      </c>
      <c r="F95">
        <v>15</v>
      </c>
      <c r="G95">
        <v>59</v>
      </c>
      <c r="H95">
        <v>78</v>
      </c>
      <c r="I95">
        <v>3.9</v>
      </c>
      <c r="J95">
        <v>51</v>
      </c>
      <c r="K95">
        <v>80</v>
      </c>
      <c r="L95">
        <v>14</v>
      </c>
      <c r="M95" t="s">
        <v>24</v>
      </c>
      <c r="N95">
        <v>18</v>
      </c>
      <c r="O95" t="s">
        <v>33</v>
      </c>
      <c r="P95">
        <v>13</v>
      </c>
      <c r="Q95" t="s">
        <v>34</v>
      </c>
      <c r="R95">
        <v>10</v>
      </c>
      <c r="S95">
        <v>2022</v>
      </c>
      <c r="T95" t="s">
        <v>52</v>
      </c>
    </row>
    <row r="96" spans="1:20" x14ac:dyDescent="0.3">
      <c r="A96" t="s">
        <v>32</v>
      </c>
      <c r="B96">
        <v>33</v>
      </c>
      <c r="C96" t="s">
        <v>35</v>
      </c>
      <c r="D96">
        <v>4</v>
      </c>
      <c r="E96" s="20">
        <v>44738</v>
      </c>
      <c r="F96">
        <v>10</v>
      </c>
      <c r="G96">
        <v>58</v>
      </c>
      <c r="H96">
        <v>79</v>
      </c>
      <c r="I96">
        <v>3.6</v>
      </c>
      <c r="J96">
        <v>48</v>
      </c>
      <c r="K96">
        <v>51</v>
      </c>
      <c r="L96">
        <v>13</v>
      </c>
      <c r="M96" t="s">
        <v>24</v>
      </c>
      <c r="N96">
        <v>16</v>
      </c>
      <c r="O96" t="s">
        <v>33</v>
      </c>
      <c r="P96">
        <v>11</v>
      </c>
      <c r="Q96" t="s">
        <v>34</v>
      </c>
      <c r="R96">
        <v>8</v>
      </c>
      <c r="S96">
        <v>2022</v>
      </c>
      <c r="T96" t="s">
        <v>52</v>
      </c>
    </row>
    <row r="97" spans="1:20" x14ac:dyDescent="0.3">
      <c r="A97" t="s">
        <v>26</v>
      </c>
      <c r="B97">
        <v>26</v>
      </c>
      <c r="C97" t="s">
        <v>19</v>
      </c>
      <c r="D97">
        <v>30</v>
      </c>
      <c r="E97" s="20">
        <v>44574</v>
      </c>
      <c r="F97">
        <v>9</v>
      </c>
      <c r="G97">
        <v>6.04</v>
      </c>
      <c r="H97">
        <v>78</v>
      </c>
      <c r="I97">
        <v>3.2</v>
      </c>
      <c r="J97">
        <v>48.7</v>
      </c>
      <c r="K97">
        <v>35</v>
      </c>
      <c r="L97">
        <v>5.8</v>
      </c>
      <c r="M97" t="s">
        <v>27</v>
      </c>
      <c r="N97">
        <v>23.6</v>
      </c>
      <c r="O97" t="s">
        <v>21</v>
      </c>
      <c r="P97">
        <v>18.399999999999999</v>
      </c>
      <c r="Q97" t="s">
        <v>22</v>
      </c>
      <c r="R97">
        <v>11.6</v>
      </c>
      <c r="S97">
        <v>2022</v>
      </c>
      <c r="T97" t="s">
        <v>47</v>
      </c>
    </row>
    <row r="98" spans="1:20" x14ac:dyDescent="0.3">
      <c r="A98" t="s">
        <v>26</v>
      </c>
      <c r="B98">
        <v>26</v>
      </c>
      <c r="C98" t="s">
        <v>23</v>
      </c>
      <c r="D98">
        <v>35</v>
      </c>
      <c r="E98" s="20">
        <v>44575</v>
      </c>
      <c r="F98">
        <v>14</v>
      </c>
      <c r="G98">
        <v>7.5</v>
      </c>
      <c r="H98">
        <v>75</v>
      </c>
      <c r="I98">
        <v>3.1</v>
      </c>
      <c r="J98">
        <v>46.2</v>
      </c>
      <c r="K98">
        <v>29</v>
      </c>
      <c r="L98">
        <v>5.5</v>
      </c>
      <c r="M98" t="s">
        <v>27</v>
      </c>
      <c r="N98">
        <v>22</v>
      </c>
      <c r="O98" t="s">
        <v>21</v>
      </c>
      <c r="P98">
        <v>16.7</v>
      </c>
      <c r="Q98" t="s">
        <v>22</v>
      </c>
      <c r="R98">
        <v>10.8</v>
      </c>
      <c r="S98">
        <v>2022</v>
      </c>
      <c r="T98" t="s">
        <v>47</v>
      </c>
    </row>
    <row r="99" spans="1:20" x14ac:dyDescent="0.3">
      <c r="A99" t="s">
        <v>26</v>
      </c>
      <c r="B99">
        <v>26</v>
      </c>
      <c r="C99" t="s">
        <v>19</v>
      </c>
      <c r="D99">
        <v>35</v>
      </c>
      <c r="E99" s="20">
        <v>44586</v>
      </c>
      <c r="F99">
        <v>9</v>
      </c>
      <c r="G99">
        <v>6.04</v>
      </c>
      <c r="H99">
        <v>78</v>
      </c>
      <c r="I99">
        <v>3.4</v>
      </c>
      <c r="J99">
        <v>48.7</v>
      </c>
      <c r="K99">
        <v>36</v>
      </c>
      <c r="L99">
        <v>5.8</v>
      </c>
      <c r="M99" t="s">
        <v>27</v>
      </c>
      <c r="N99">
        <v>23.6</v>
      </c>
      <c r="O99" t="s">
        <v>21</v>
      </c>
      <c r="P99">
        <v>18.399999999999999</v>
      </c>
      <c r="Q99" t="s">
        <v>22</v>
      </c>
      <c r="R99">
        <v>11.6</v>
      </c>
      <c r="S99">
        <v>2022</v>
      </c>
      <c r="T99" t="s">
        <v>47</v>
      </c>
    </row>
    <row r="100" spans="1:20" x14ac:dyDescent="0.3">
      <c r="A100" t="s">
        <v>26</v>
      </c>
      <c r="B100">
        <v>26</v>
      </c>
      <c r="C100" t="s">
        <v>23</v>
      </c>
      <c r="D100">
        <v>32</v>
      </c>
      <c r="E100" s="20">
        <v>44587</v>
      </c>
      <c r="F100">
        <v>12</v>
      </c>
      <c r="G100">
        <v>7.5</v>
      </c>
      <c r="H100">
        <v>75</v>
      </c>
      <c r="I100">
        <v>3</v>
      </c>
      <c r="J100">
        <v>46.2</v>
      </c>
      <c r="K100">
        <v>29</v>
      </c>
      <c r="L100">
        <v>5.5</v>
      </c>
      <c r="M100" t="s">
        <v>27</v>
      </c>
      <c r="N100">
        <v>22</v>
      </c>
      <c r="O100" t="s">
        <v>21</v>
      </c>
      <c r="P100">
        <v>16.7</v>
      </c>
      <c r="Q100" t="s">
        <v>22</v>
      </c>
      <c r="R100">
        <v>10.8</v>
      </c>
      <c r="S100">
        <v>2022</v>
      </c>
      <c r="T100" t="s">
        <v>47</v>
      </c>
    </row>
    <row r="101" spans="1:20" x14ac:dyDescent="0.3">
      <c r="A101" t="s">
        <v>26</v>
      </c>
      <c r="B101">
        <v>26</v>
      </c>
      <c r="C101" t="s">
        <v>19</v>
      </c>
      <c r="D101">
        <v>27</v>
      </c>
      <c r="E101" s="20">
        <v>44598</v>
      </c>
      <c r="F101">
        <v>8</v>
      </c>
      <c r="G101">
        <v>6.04</v>
      </c>
      <c r="H101">
        <v>78</v>
      </c>
      <c r="I101">
        <v>3.2</v>
      </c>
      <c r="J101">
        <v>48.7</v>
      </c>
      <c r="K101">
        <v>34</v>
      </c>
      <c r="L101">
        <v>5.8</v>
      </c>
      <c r="M101" t="s">
        <v>27</v>
      </c>
      <c r="N101">
        <v>23.6</v>
      </c>
      <c r="O101" t="s">
        <v>21</v>
      </c>
      <c r="P101">
        <v>18.399999999999999</v>
      </c>
      <c r="Q101" t="s">
        <v>22</v>
      </c>
      <c r="R101">
        <v>11.6</v>
      </c>
      <c r="S101">
        <v>2022</v>
      </c>
      <c r="T101" t="s">
        <v>48</v>
      </c>
    </row>
    <row r="102" spans="1:20" x14ac:dyDescent="0.3">
      <c r="A102" t="s">
        <v>26</v>
      </c>
      <c r="B102">
        <v>26</v>
      </c>
      <c r="C102" t="s">
        <v>23</v>
      </c>
      <c r="D102">
        <v>30</v>
      </c>
      <c r="E102" s="20">
        <v>44599</v>
      </c>
      <c r="F102">
        <v>10</v>
      </c>
      <c r="G102">
        <v>7.5</v>
      </c>
      <c r="H102">
        <v>75</v>
      </c>
      <c r="I102">
        <v>3</v>
      </c>
      <c r="J102">
        <v>46.2</v>
      </c>
      <c r="K102">
        <v>27</v>
      </c>
      <c r="L102">
        <v>5.5</v>
      </c>
      <c r="M102" t="s">
        <v>27</v>
      </c>
      <c r="N102">
        <v>22</v>
      </c>
      <c r="O102" t="s">
        <v>21</v>
      </c>
      <c r="P102">
        <v>16.7</v>
      </c>
      <c r="Q102" t="s">
        <v>22</v>
      </c>
      <c r="R102">
        <v>10.8</v>
      </c>
      <c r="S102">
        <v>2022</v>
      </c>
      <c r="T102" t="s">
        <v>48</v>
      </c>
    </row>
    <row r="103" spans="1:20" x14ac:dyDescent="0.3">
      <c r="A103" t="s">
        <v>26</v>
      </c>
      <c r="B103">
        <v>26</v>
      </c>
      <c r="C103" t="s">
        <v>19</v>
      </c>
      <c r="D103">
        <v>42</v>
      </c>
      <c r="E103" s="20">
        <v>44610</v>
      </c>
      <c r="F103">
        <v>8</v>
      </c>
      <c r="G103">
        <v>6.04</v>
      </c>
      <c r="H103">
        <v>78</v>
      </c>
      <c r="I103">
        <v>3.2</v>
      </c>
      <c r="J103">
        <v>48.7</v>
      </c>
      <c r="K103">
        <v>34</v>
      </c>
      <c r="L103">
        <v>5.8</v>
      </c>
      <c r="M103" t="s">
        <v>27</v>
      </c>
      <c r="N103">
        <v>23.6</v>
      </c>
      <c r="O103" t="s">
        <v>21</v>
      </c>
      <c r="P103">
        <v>18.399999999999999</v>
      </c>
      <c r="Q103" t="s">
        <v>22</v>
      </c>
      <c r="R103">
        <v>11.6</v>
      </c>
      <c r="S103">
        <v>2022</v>
      </c>
      <c r="T103" t="s">
        <v>48</v>
      </c>
    </row>
    <row r="104" spans="1:20" x14ac:dyDescent="0.3">
      <c r="A104" t="s">
        <v>26</v>
      </c>
      <c r="B104">
        <v>26</v>
      </c>
      <c r="C104" t="s">
        <v>23</v>
      </c>
      <c r="D104">
        <v>30</v>
      </c>
      <c r="E104" s="20">
        <v>44611</v>
      </c>
      <c r="F104">
        <v>10</v>
      </c>
      <c r="G104">
        <v>7.5</v>
      </c>
      <c r="H104">
        <v>75</v>
      </c>
      <c r="I104">
        <v>3</v>
      </c>
      <c r="J104">
        <v>46.2</v>
      </c>
      <c r="K104">
        <v>27</v>
      </c>
      <c r="L104">
        <v>5.5</v>
      </c>
      <c r="M104" t="s">
        <v>27</v>
      </c>
      <c r="N104">
        <v>22</v>
      </c>
      <c r="O104" t="s">
        <v>21</v>
      </c>
      <c r="P104">
        <v>16.7</v>
      </c>
      <c r="Q104" t="s">
        <v>22</v>
      </c>
      <c r="R104">
        <v>10.8</v>
      </c>
      <c r="S104">
        <v>2022</v>
      </c>
      <c r="T104" t="s">
        <v>48</v>
      </c>
    </row>
    <row r="105" spans="1:20" x14ac:dyDescent="0.3">
      <c r="A105" t="s">
        <v>26</v>
      </c>
      <c r="B105">
        <v>26</v>
      </c>
      <c r="C105" t="s">
        <v>19</v>
      </c>
      <c r="D105">
        <v>42</v>
      </c>
      <c r="E105" s="20">
        <v>44622</v>
      </c>
      <c r="F105">
        <v>8</v>
      </c>
      <c r="G105">
        <v>6.04</v>
      </c>
      <c r="H105">
        <v>78</v>
      </c>
      <c r="I105">
        <v>3.2</v>
      </c>
      <c r="J105">
        <v>48.7</v>
      </c>
      <c r="K105">
        <v>34</v>
      </c>
      <c r="L105">
        <v>5.8</v>
      </c>
      <c r="M105" t="s">
        <v>27</v>
      </c>
      <c r="N105">
        <v>23.6</v>
      </c>
      <c r="O105" t="s">
        <v>21</v>
      </c>
      <c r="P105">
        <v>18.399999999999999</v>
      </c>
      <c r="Q105" t="s">
        <v>22</v>
      </c>
      <c r="R105">
        <v>11.6</v>
      </c>
      <c r="S105">
        <v>2022</v>
      </c>
      <c r="T105" t="s">
        <v>49</v>
      </c>
    </row>
    <row r="106" spans="1:20" x14ac:dyDescent="0.3">
      <c r="A106" t="s">
        <v>26</v>
      </c>
      <c r="B106">
        <v>26</v>
      </c>
      <c r="C106" t="s">
        <v>23</v>
      </c>
      <c r="D106">
        <v>30</v>
      </c>
      <c r="E106" s="20">
        <v>44623</v>
      </c>
      <c r="F106">
        <v>10</v>
      </c>
      <c r="G106">
        <v>7.5</v>
      </c>
      <c r="H106">
        <v>75</v>
      </c>
      <c r="I106">
        <v>3</v>
      </c>
      <c r="J106">
        <v>46.2</v>
      </c>
      <c r="K106">
        <v>27</v>
      </c>
      <c r="L106">
        <v>5.5</v>
      </c>
      <c r="M106" t="s">
        <v>27</v>
      </c>
      <c r="N106">
        <v>22</v>
      </c>
      <c r="O106" t="s">
        <v>21</v>
      </c>
      <c r="P106">
        <v>16.7</v>
      </c>
      <c r="Q106" t="s">
        <v>22</v>
      </c>
      <c r="R106">
        <v>10.8</v>
      </c>
      <c r="S106">
        <v>2022</v>
      </c>
      <c r="T106" t="s">
        <v>49</v>
      </c>
    </row>
    <row r="107" spans="1:20" x14ac:dyDescent="0.3">
      <c r="A107" t="s">
        <v>26</v>
      </c>
      <c r="B107">
        <v>26</v>
      </c>
      <c r="C107" t="s">
        <v>19</v>
      </c>
      <c r="D107">
        <v>133</v>
      </c>
      <c r="E107" s="20">
        <v>44634</v>
      </c>
      <c r="F107">
        <v>10</v>
      </c>
      <c r="G107">
        <v>6.04</v>
      </c>
      <c r="H107">
        <v>78</v>
      </c>
      <c r="I107">
        <v>3.1</v>
      </c>
      <c r="J107">
        <v>48.7</v>
      </c>
      <c r="K107">
        <v>35</v>
      </c>
      <c r="L107">
        <v>5.8</v>
      </c>
      <c r="M107" t="s">
        <v>27</v>
      </c>
      <c r="N107">
        <v>23.6</v>
      </c>
      <c r="O107" t="s">
        <v>21</v>
      </c>
      <c r="P107">
        <v>18.399999999999999</v>
      </c>
      <c r="Q107" t="s">
        <v>22</v>
      </c>
      <c r="R107">
        <v>11.6</v>
      </c>
      <c r="S107">
        <v>2022</v>
      </c>
      <c r="T107" t="s">
        <v>49</v>
      </c>
    </row>
    <row r="108" spans="1:20" x14ac:dyDescent="0.3">
      <c r="A108" t="s">
        <v>26</v>
      </c>
      <c r="B108">
        <v>26</v>
      </c>
      <c r="C108" t="s">
        <v>23</v>
      </c>
      <c r="D108">
        <v>39</v>
      </c>
      <c r="E108" s="20">
        <v>44635</v>
      </c>
      <c r="F108">
        <v>15</v>
      </c>
      <c r="G108">
        <v>7.5</v>
      </c>
      <c r="H108">
        <v>75</v>
      </c>
      <c r="I108">
        <v>3.2</v>
      </c>
      <c r="J108">
        <v>46.2</v>
      </c>
      <c r="K108">
        <v>30</v>
      </c>
      <c r="L108">
        <v>5.5</v>
      </c>
      <c r="M108" t="s">
        <v>27</v>
      </c>
      <c r="N108">
        <v>22</v>
      </c>
      <c r="O108" t="s">
        <v>21</v>
      </c>
      <c r="P108">
        <v>16.7</v>
      </c>
      <c r="Q108" t="s">
        <v>22</v>
      </c>
      <c r="R108">
        <v>10.8</v>
      </c>
      <c r="S108">
        <v>2022</v>
      </c>
      <c r="T108" t="s">
        <v>49</v>
      </c>
    </row>
    <row r="109" spans="1:20" x14ac:dyDescent="0.3">
      <c r="A109" t="s">
        <v>26</v>
      </c>
      <c r="B109">
        <v>26</v>
      </c>
      <c r="C109" t="s">
        <v>19</v>
      </c>
      <c r="D109">
        <v>33</v>
      </c>
      <c r="E109" s="20">
        <v>44646</v>
      </c>
      <c r="F109">
        <v>10</v>
      </c>
      <c r="G109">
        <v>6.04</v>
      </c>
      <c r="H109">
        <v>78</v>
      </c>
      <c r="I109">
        <v>3.1</v>
      </c>
      <c r="J109">
        <v>48.7</v>
      </c>
      <c r="K109">
        <v>35</v>
      </c>
      <c r="L109">
        <v>5.8</v>
      </c>
      <c r="M109" t="s">
        <v>27</v>
      </c>
      <c r="N109">
        <v>23.6</v>
      </c>
      <c r="O109" t="s">
        <v>21</v>
      </c>
      <c r="P109">
        <v>18.399999999999999</v>
      </c>
      <c r="Q109" t="s">
        <v>22</v>
      </c>
      <c r="R109">
        <v>11.6</v>
      </c>
      <c r="S109">
        <v>2022</v>
      </c>
      <c r="T109" t="s">
        <v>49</v>
      </c>
    </row>
    <row r="110" spans="1:20" x14ac:dyDescent="0.3">
      <c r="A110" t="s">
        <v>26</v>
      </c>
      <c r="B110">
        <v>26</v>
      </c>
      <c r="C110" t="s">
        <v>23</v>
      </c>
      <c r="D110">
        <v>139</v>
      </c>
      <c r="E110" s="20">
        <v>44647</v>
      </c>
      <c r="F110">
        <v>15</v>
      </c>
      <c r="G110">
        <v>7.5</v>
      </c>
      <c r="H110">
        <v>75</v>
      </c>
      <c r="I110">
        <v>3.2</v>
      </c>
      <c r="J110">
        <v>46.2</v>
      </c>
      <c r="K110">
        <v>30</v>
      </c>
      <c r="L110">
        <v>5.5</v>
      </c>
      <c r="M110" t="s">
        <v>27</v>
      </c>
      <c r="N110">
        <v>22</v>
      </c>
      <c r="O110" t="s">
        <v>21</v>
      </c>
      <c r="P110">
        <v>16.7</v>
      </c>
      <c r="Q110" t="s">
        <v>22</v>
      </c>
      <c r="R110">
        <v>10.8</v>
      </c>
      <c r="S110">
        <v>2022</v>
      </c>
      <c r="T110" t="s">
        <v>49</v>
      </c>
    </row>
    <row r="111" spans="1:20" x14ac:dyDescent="0.3">
      <c r="A111" t="s">
        <v>26</v>
      </c>
      <c r="B111">
        <v>26</v>
      </c>
      <c r="C111" t="s">
        <v>19</v>
      </c>
      <c r="D111">
        <v>37</v>
      </c>
      <c r="E111" s="20">
        <v>44658</v>
      </c>
      <c r="F111">
        <v>8</v>
      </c>
      <c r="G111">
        <v>5</v>
      </c>
      <c r="H111">
        <v>76</v>
      </c>
      <c r="I111">
        <v>3</v>
      </c>
      <c r="J111">
        <v>47</v>
      </c>
      <c r="K111">
        <v>37</v>
      </c>
      <c r="L111">
        <v>6</v>
      </c>
      <c r="M111" t="s">
        <v>27</v>
      </c>
      <c r="N111">
        <v>20</v>
      </c>
      <c r="O111" t="s">
        <v>21</v>
      </c>
      <c r="P111">
        <v>16</v>
      </c>
      <c r="Q111" t="s">
        <v>22</v>
      </c>
      <c r="R111">
        <v>12</v>
      </c>
      <c r="S111">
        <v>2022</v>
      </c>
      <c r="T111" t="s">
        <v>50</v>
      </c>
    </row>
    <row r="112" spans="1:20" x14ac:dyDescent="0.3">
      <c r="A112" t="s">
        <v>26</v>
      </c>
      <c r="B112">
        <v>26</v>
      </c>
      <c r="C112" t="s">
        <v>23</v>
      </c>
      <c r="D112">
        <v>29</v>
      </c>
      <c r="E112" s="20">
        <v>44659</v>
      </c>
      <c r="F112">
        <v>10</v>
      </c>
      <c r="G112">
        <v>7</v>
      </c>
      <c r="H112">
        <v>74</v>
      </c>
      <c r="I112">
        <v>3.2</v>
      </c>
      <c r="J112">
        <v>44</v>
      </c>
      <c r="K112">
        <v>31</v>
      </c>
      <c r="L112">
        <v>5.5</v>
      </c>
      <c r="M112" t="s">
        <v>27</v>
      </c>
      <c r="N112">
        <v>19</v>
      </c>
      <c r="O112" t="s">
        <v>21</v>
      </c>
      <c r="P112">
        <v>15</v>
      </c>
      <c r="Q112" t="s">
        <v>22</v>
      </c>
      <c r="R112">
        <v>11.5</v>
      </c>
      <c r="S112">
        <v>2022</v>
      </c>
      <c r="T112" t="s">
        <v>50</v>
      </c>
    </row>
    <row r="113" spans="1:20" x14ac:dyDescent="0.3">
      <c r="A113" t="s">
        <v>26</v>
      </c>
      <c r="B113">
        <v>26</v>
      </c>
      <c r="C113" t="s">
        <v>19</v>
      </c>
      <c r="D113">
        <v>34</v>
      </c>
      <c r="E113" s="20">
        <v>44670</v>
      </c>
      <c r="F113">
        <v>9</v>
      </c>
      <c r="G113">
        <v>5.5</v>
      </c>
      <c r="H113">
        <v>76</v>
      </c>
      <c r="I113">
        <v>3.5</v>
      </c>
      <c r="J113">
        <v>48</v>
      </c>
      <c r="K113">
        <v>33</v>
      </c>
      <c r="L113">
        <v>6.5</v>
      </c>
      <c r="M113" t="s">
        <v>27</v>
      </c>
      <c r="N113">
        <v>22</v>
      </c>
      <c r="O113" t="s">
        <v>21</v>
      </c>
      <c r="P113">
        <v>15</v>
      </c>
      <c r="Q113" t="s">
        <v>22</v>
      </c>
      <c r="R113">
        <v>12</v>
      </c>
      <c r="S113">
        <v>2022</v>
      </c>
      <c r="T113" t="s">
        <v>50</v>
      </c>
    </row>
    <row r="114" spans="1:20" x14ac:dyDescent="0.3">
      <c r="A114" t="s">
        <v>26</v>
      </c>
      <c r="B114">
        <v>26</v>
      </c>
      <c r="C114" t="s">
        <v>23</v>
      </c>
      <c r="D114">
        <v>128</v>
      </c>
      <c r="E114" s="20">
        <v>44671</v>
      </c>
      <c r="F114">
        <v>12</v>
      </c>
      <c r="G114">
        <v>6</v>
      </c>
      <c r="H114">
        <v>75</v>
      </c>
      <c r="I114">
        <v>3.1</v>
      </c>
      <c r="J114">
        <v>45</v>
      </c>
      <c r="K114">
        <v>28</v>
      </c>
      <c r="L114">
        <v>5</v>
      </c>
      <c r="M114" t="s">
        <v>27</v>
      </c>
      <c r="N114">
        <v>21</v>
      </c>
      <c r="O114" t="s">
        <v>21</v>
      </c>
      <c r="P114">
        <v>14</v>
      </c>
      <c r="Q114" t="s">
        <v>22</v>
      </c>
      <c r="R114">
        <v>11</v>
      </c>
      <c r="S114">
        <v>2022</v>
      </c>
      <c r="T114" t="s">
        <v>50</v>
      </c>
    </row>
    <row r="115" spans="1:20" x14ac:dyDescent="0.3">
      <c r="A115" t="s">
        <v>26</v>
      </c>
      <c r="B115">
        <v>26</v>
      </c>
      <c r="C115" t="s">
        <v>19</v>
      </c>
      <c r="D115">
        <v>33</v>
      </c>
      <c r="E115" s="20">
        <v>44678</v>
      </c>
      <c r="F115">
        <v>10</v>
      </c>
      <c r="G115">
        <v>6.04</v>
      </c>
      <c r="H115">
        <v>78</v>
      </c>
      <c r="I115">
        <v>3.1</v>
      </c>
      <c r="J115">
        <v>48.7</v>
      </c>
      <c r="K115">
        <v>35</v>
      </c>
      <c r="L115">
        <v>5.8</v>
      </c>
      <c r="M115" t="s">
        <v>27</v>
      </c>
      <c r="N115">
        <v>23.6</v>
      </c>
      <c r="O115" t="s">
        <v>21</v>
      </c>
      <c r="P115">
        <v>18.399999999999999</v>
      </c>
      <c r="Q115" t="s">
        <v>22</v>
      </c>
      <c r="R115">
        <v>11.6</v>
      </c>
      <c r="S115">
        <v>2022</v>
      </c>
      <c r="T115" t="s">
        <v>50</v>
      </c>
    </row>
    <row r="116" spans="1:20" x14ac:dyDescent="0.3">
      <c r="A116" t="s">
        <v>26</v>
      </c>
      <c r="B116">
        <v>26</v>
      </c>
      <c r="C116" t="s">
        <v>23</v>
      </c>
      <c r="D116">
        <v>39</v>
      </c>
      <c r="E116" s="20">
        <v>44679</v>
      </c>
      <c r="F116">
        <v>15</v>
      </c>
      <c r="G116">
        <v>7.5</v>
      </c>
      <c r="H116">
        <v>75</v>
      </c>
      <c r="I116">
        <v>3.2</v>
      </c>
      <c r="J116">
        <v>46.2</v>
      </c>
      <c r="K116">
        <v>30</v>
      </c>
      <c r="L116">
        <v>5.5</v>
      </c>
      <c r="M116" t="s">
        <v>27</v>
      </c>
      <c r="N116">
        <v>22</v>
      </c>
      <c r="O116" t="s">
        <v>21</v>
      </c>
      <c r="P116">
        <v>16.7</v>
      </c>
      <c r="Q116" t="s">
        <v>22</v>
      </c>
      <c r="R116">
        <v>10.8</v>
      </c>
      <c r="S116">
        <v>2022</v>
      </c>
      <c r="T116" t="s">
        <v>50</v>
      </c>
    </row>
    <row r="117" spans="1:20" x14ac:dyDescent="0.3">
      <c r="A117" t="s">
        <v>26</v>
      </c>
      <c r="B117">
        <v>26</v>
      </c>
      <c r="C117" t="s">
        <v>35</v>
      </c>
      <c r="D117">
        <v>20</v>
      </c>
      <c r="E117" s="20">
        <v>44680</v>
      </c>
      <c r="F117">
        <v>12</v>
      </c>
      <c r="G117">
        <v>8</v>
      </c>
      <c r="H117">
        <v>70</v>
      </c>
      <c r="I117">
        <v>3.1</v>
      </c>
      <c r="J117">
        <v>44</v>
      </c>
      <c r="K117">
        <v>65</v>
      </c>
      <c r="L117">
        <v>4</v>
      </c>
      <c r="M117" t="s">
        <v>27</v>
      </c>
      <c r="N117">
        <v>20</v>
      </c>
      <c r="O117" t="s">
        <v>21</v>
      </c>
      <c r="P117">
        <v>14</v>
      </c>
      <c r="Q117" t="s">
        <v>22</v>
      </c>
      <c r="R117">
        <v>9.5</v>
      </c>
      <c r="S117">
        <v>2022</v>
      </c>
      <c r="T117" t="s">
        <v>50</v>
      </c>
    </row>
    <row r="118" spans="1:20" x14ac:dyDescent="0.3">
      <c r="A118" t="s">
        <v>26</v>
      </c>
      <c r="B118">
        <v>26</v>
      </c>
      <c r="C118" t="s">
        <v>19</v>
      </c>
      <c r="D118">
        <v>37</v>
      </c>
      <c r="E118" s="20">
        <v>44695</v>
      </c>
      <c r="F118">
        <v>8</v>
      </c>
      <c r="G118">
        <v>5</v>
      </c>
      <c r="H118">
        <v>76</v>
      </c>
      <c r="I118">
        <v>3</v>
      </c>
      <c r="J118">
        <v>47</v>
      </c>
      <c r="K118">
        <v>37</v>
      </c>
      <c r="L118">
        <v>6</v>
      </c>
      <c r="M118" t="s">
        <v>27</v>
      </c>
      <c r="N118">
        <v>20</v>
      </c>
      <c r="O118" t="s">
        <v>21</v>
      </c>
      <c r="P118">
        <v>16</v>
      </c>
      <c r="Q118" t="s">
        <v>22</v>
      </c>
      <c r="R118">
        <v>12</v>
      </c>
      <c r="S118">
        <v>2022</v>
      </c>
      <c r="T118" t="s">
        <v>51</v>
      </c>
    </row>
    <row r="119" spans="1:20" x14ac:dyDescent="0.3">
      <c r="A119" t="s">
        <v>26</v>
      </c>
      <c r="B119">
        <v>26</v>
      </c>
      <c r="C119" t="s">
        <v>23</v>
      </c>
      <c r="D119">
        <v>29</v>
      </c>
      <c r="E119" s="20">
        <v>44696</v>
      </c>
      <c r="F119">
        <v>10</v>
      </c>
      <c r="G119">
        <v>7</v>
      </c>
      <c r="H119">
        <v>74</v>
      </c>
      <c r="I119">
        <v>3.2</v>
      </c>
      <c r="J119">
        <v>44</v>
      </c>
      <c r="K119">
        <v>31</v>
      </c>
      <c r="L119">
        <v>5.5</v>
      </c>
      <c r="M119" t="s">
        <v>27</v>
      </c>
      <c r="N119">
        <v>19</v>
      </c>
      <c r="O119" t="s">
        <v>21</v>
      </c>
      <c r="P119">
        <v>15</v>
      </c>
      <c r="Q119" t="s">
        <v>22</v>
      </c>
      <c r="R119">
        <v>11.5</v>
      </c>
      <c r="S119">
        <v>2022</v>
      </c>
      <c r="T119" t="s">
        <v>51</v>
      </c>
    </row>
    <row r="120" spans="1:20" x14ac:dyDescent="0.3">
      <c r="A120" t="s">
        <v>26</v>
      </c>
      <c r="B120">
        <v>26</v>
      </c>
      <c r="C120" t="s">
        <v>35</v>
      </c>
      <c r="D120">
        <v>5</v>
      </c>
      <c r="E120" s="20">
        <v>44697</v>
      </c>
      <c r="F120">
        <v>7</v>
      </c>
      <c r="G120">
        <v>6.5</v>
      </c>
      <c r="H120">
        <v>70</v>
      </c>
      <c r="I120">
        <v>3.1</v>
      </c>
      <c r="J120">
        <v>42</v>
      </c>
      <c r="K120">
        <v>57</v>
      </c>
      <c r="L120">
        <v>4.5</v>
      </c>
      <c r="M120" t="s">
        <v>27</v>
      </c>
      <c r="N120">
        <v>18</v>
      </c>
      <c r="O120" t="s">
        <v>21</v>
      </c>
      <c r="P120">
        <v>14</v>
      </c>
      <c r="Q120" t="s">
        <v>22</v>
      </c>
      <c r="R120">
        <v>10</v>
      </c>
      <c r="S120">
        <v>2022</v>
      </c>
      <c r="T120" t="s">
        <v>51</v>
      </c>
    </row>
    <row r="121" spans="1:20" x14ac:dyDescent="0.3">
      <c r="A121" t="s">
        <v>26</v>
      </c>
      <c r="B121">
        <v>26</v>
      </c>
      <c r="C121" t="s">
        <v>19</v>
      </c>
      <c r="D121">
        <v>35</v>
      </c>
      <c r="E121" s="20">
        <v>44725</v>
      </c>
      <c r="F121">
        <v>10</v>
      </c>
      <c r="G121">
        <v>5.5</v>
      </c>
      <c r="H121">
        <v>76</v>
      </c>
      <c r="I121">
        <v>3.5</v>
      </c>
      <c r="J121">
        <v>48</v>
      </c>
      <c r="K121">
        <v>33</v>
      </c>
      <c r="L121">
        <v>6.5</v>
      </c>
      <c r="M121" t="s">
        <v>27</v>
      </c>
      <c r="N121">
        <v>22</v>
      </c>
      <c r="O121" t="s">
        <v>21</v>
      </c>
      <c r="P121">
        <v>15</v>
      </c>
      <c r="Q121" t="s">
        <v>22</v>
      </c>
      <c r="R121">
        <v>12</v>
      </c>
      <c r="S121">
        <v>2022</v>
      </c>
      <c r="T121" t="s">
        <v>52</v>
      </c>
    </row>
    <row r="122" spans="1:20" x14ac:dyDescent="0.3">
      <c r="A122" t="s">
        <v>26</v>
      </c>
      <c r="B122">
        <v>26</v>
      </c>
      <c r="C122" t="s">
        <v>23</v>
      </c>
      <c r="D122">
        <v>29</v>
      </c>
      <c r="E122" s="20">
        <v>44726</v>
      </c>
      <c r="F122">
        <v>12</v>
      </c>
      <c r="G122">
        <v>6</v>
      </c>
      <c r="H122">
        <v>75</v>
      </c>
      <c r="I122">
        <v>3.1</v>
      </c>
      <c r="J122">
        <v>45</v>
      </c>
      <c r="K122">
        <v>28</v>
      </c>
      <c r="L122">
        <v>5</v>
      </c>
      <c r="M122" t="s">
        <v>27</v>
      </c>
      <c r="N122">
        <v>21</v>
      </c>
      <c r="O122" t="s">
        <v>21</v>
      </c>
      <c r="P122">
        <v>14</v>
      </c>
      <c r="Q122" t="s">
        <v>22</v>
      </c>
      <c r="R122">
        <v>11</v>
      </c>
      <c r="S122">
        <v>2022</v>
      </c>
      <c r="T122" t="s">
        <v>52</v>
      </c>
    </row>
    <row r="123" spans="1:20" x14ac:dyDescent="0.3">
      <c r="A123" t="s">
        <v>26</v>
      </c>
      <c r="B123">
        <v>26</v>
      </c>
      <c r="C123" t="s">
        <v>35</v>
      </c>
      <c r="D123">
        <v>114</v>
      </c>
      <c r="E123" s="20">
        <v>44727</v>
      </c>
      <c r="F123">
        <v>8</v>
      </c>
      <c r="G123">
        <v>6.5</v>
      </c>
      <c r="H123">
        <v>70</v>
      </c>
      <c r="I123">
        <v>3</v>
      </c>
      <c r="J123">
        <v>42</v>
      </c>
      <c r="K123">
        <v>69</v>
      </c>
      <c r="L123">
        <v>4.5</v>
      </c>
      <c r="M123" t="s">
        <v>27</v>
      </c>
      <c r="N123">
        <v>20</v>
      </c>
      <c r="O123" t="s">
        <v>21</v>
      </c>
      <c r="P123">
        <v>12</v>
      </c>
      <c r="Q123" t="s">
        <v>22</v>
      </c>
      <c r="R123">
        <v>10</v>
      </c>
      <c r="S123">
        <v>2022</v>
      </c>
      <c r="T123" t="s">
        <v>52</v>
      </c>
    </row>
    <row r="124" spans="1:20" x14ac:dyDescent="0.3">
      <c r="A124" t="s">
        <v>26</v>
      </c>
      <c r="B124">
        <v>26</v>
      </c>
      <c r="C124" t="s">
        <v>19</v>
      </c>
      <c r="D124">
        <v>53</v>
      </c>
      <c r="E124" s="20">
        <v>44730</v>
      </c>
      <c r="F124">
        <v>8</v>
      </c>
      <c r="G124">
        <v>6.04</v>
      </c>
      <c r="H124">
        <v>78</v>
      </c>
      <c r="I124">
        <v>3.2</v>
      </c>
      <c r="J124">
        <v>48.7</v>
      </c>
      <c r="K124">
        <v>39</v>
      </c>
      <c r="L124">
        <v>5.8</v>
      </c>
      <c r="M124" t="s">
        <v>27</v>
      </c>
      <c r="N124">
        <v>23.6</v>
      </c>
      <c r="O124" t="s">
        <v>21</v>
      </c>
      <c r="P124">
        <v>18.399999999999999</v>
      </c>
      <c r="Q124" t="s">
        <v>22</v>
      </c>
      <c r="R124">
        <v>11.6</v>
      </c>
      <c r="S124">
        <v>2022</v>
      </c>
      <c r="T124" t="s">
        <v>52</v>
      </c>
    </row>
    <row r="125" spans="1:20" x14ac:dyDescent="0.3">
      <c r="A125" t="s">
        <v>26</v>
      </c>
      <c r="B125">
        <v>26</v>
      </c>
      <c r="C125" t="s">
        <v>23</v>
      </c>
      <c r="D125">
        <v>269</v>
      </c>
      <c r="E125" s="20">
        <v>44735</v>
      </c>
      <c r="F125">
        <v>10</v>
      </c>
      <c r="G125">
        <v>5.5</v>
      </c>
      <c r="H125">
        <v>76</v>
      </c>
      <c r="I125">
        <v>3.5</v>
      </c>
      <c r="J125">
        <v>48</v>
      </c>
      <c r="K125">
        <v>33</v>
      </c>
      <c r="L125">
        <v>6.5</v>
      </c>
      <c r="M125" t="s">
        <v>27</v>
      </c>
      <c r="N125">
        <v>22</v>
      </c>
      <c r="O125" t="s">
        <v>21</v>
      </c>
      <c r="P125">
        <v>15</v>
      </c>
      <c r="Q125" t="s">
        <v>22</v>
      </c>
      <c r="R125">
        <v>12</v>
      </c>
      <c r="S125">
        <v>2022</v>
      </c>
      <c r="T125" t="s">
        <v>52</v>
      </c>
    </row>
    <row r="126" spans="1:20" x14ac:dyDescent="0.3">
      <c r="A126" t="s">
        <v>26</v>
      </c>
      <c r="B126">
        <v>26</v>
      </c>
      <c r="C126" t="s">
        <v>23</v>
      </c>
      <c r="D126">
        <v>28</v>
      </c>
      <c r="E126" s="20">
        <v>44746</v>
      </c>
      <c r="F126">
        <v>12</v>
      </c>
      <c r="G126">
        <v>6</v>
      </c>
      <c r="H126">
        <v>75</v>
      </c>
      <c r="I126">
        <v>3.1</v>
      </c>
      <c r="J126">
        <v>45</v>
      </c>
      <c r="K126">
        <v>28</v>
      </c>
      <c r="L126">
        <v>5</v>
      </c>
      <c r="M126" t="s">
        <v>27</v>
      </c>
      <c r="N126">
        <v>21</v>
      </c>
      <c r="O126" t="s">
        <v>21</v>
      </c>
      <c r="P126">
        <v>14</v>
      </c>
      <c r="Q126" t="s">
        <v>22</v>
      </c>
      <c r="R126">
        <v>11</v>
      </c>
      <c r="S126">
        <v>2022</v>
      </c>
      <c r="T126" t="s">
        <v>53</v>
      </c>
    </row>
    <row r="127" spans="1:20" x14ac:dyDescent="0.3">
      <c r="A127" t="s">
        <v>26</v>
      </c>
      <c r="B127">
        <v>26</v>
      </c>
      <c r="C127" t="s">
        <v>35</v>
      </c>
      <c r="D127">
        <v>8</v>
      </c>
      <c r="E127" s="20">
        <v>44747</v>
      </c>
      <c r="F127">
        <v>8</v>
      </c>
      <c r="G127">
        <v>6.5</v>
      </c>
      <c r="H127">
        <v>70</v>
      </c>
      <c r="I127">
        <v>3</v>
      </c>
      <c r="J127">
        <v>42</v>
      </c>
      <c r="K127">
        <v>69</v>
      </c>
      <c r="L127">
        <v>4.5</v>
      </c>
      <c r="M127" t="s">
        <v>27</v>
      </c>
      <c r="N127">
        <v>20</v>
      </c>
      <c r="O127" t="s">
        <v>21</v>
      </c>
      <c r="P127">
        <v>12</v>
      </c>
      <c r="Q127" t="s">
        <v>25</v>
      </c>
      <c r="R127">
        <v>23</v>
      </c>
      <c r="S127">
        <v>2022</v>
      </c>
      <c r="T127" t="s">
        <v>53</v>
      </c>
    </row>
    <row r="128" spans="1:20" x14ac:dyDescent="0.3">
      <c r="A128" t="s">
        <v>26</v>
      </c>
      <c r="B128">
        <v>26</v>
      </c>
      <c r="C128" t="s">
        <v>19</v>
      </c>
      <c r="D128">
        <v>35</v>
      </c>
      <c r="E128" s="20">
        <v>44754</v>
      </c>
      <c r="F128">
        <v>10</v>
      </c>
      <c r="G128">
        <v>5.5</v>
      </c>
      <c r="H128">
        <v>76</v>
      </c>
      <c r="I128">
        <v>3.5</v>
      </c>
      <c r="J128">
        <v>48</v>
      </c>
      <c r="K128">
        <v>33</v>
      </c>
      <c r="L128">
        <v>6.5</v>
      </c>
      <c r="M128" t="s">
        <v>27</v>
      </c>
      <c r="N128">
        <v>22</v>
      </c>
      <c r="O128" t="s">
        <v>21</v>
      </c>
      <c r="P128">
        <v>15</v>
      </c>
      <c r="Q128" t="s">
        <v>22</v>
      </c>
      <c r="R128">
        <v>12</v>
      </c>
      <c r="S128">
        <v>2022</v>
      </c>
      <c r="T128" t="s">
        <v>53</v>
      </c>
    </row>
    <row r="129" spans="1:20" x14ac:dyDescent="0.3">
      <c r="A129" t="s">
        <v>26</v>
      </c>
      <c r="B129">
        <v>26</v>
      </c>
      <c r="C129" t="s">
        <v>23</v>
      </c>
      <c r="D129">
        <v>32</v>
      </c>
      <c r="E129" s="20">
        <v>44755</v>
      </c>
      <c r="F129">
        <v>12</v>
      </c>
      <c r="G129">
        <v>6</v>
      </c>
      <c r="H129">
        <v>75</v>
      </c>
      <c r="I129">
        <v>3.1</v>
      </c>
      <c r="J129">
        <v>45</v>
      </c>
      <c r="K129">
        <v>28</v>
      </c>
      <c r="L129">
        <v>6</v>
      </c>
      <c r="M129" t="s">
        <v>27</v>
      </c>
      <c r="N129">
        <v>21</v>
      </c>
      <c r="O129" t="s">
        <v>21</v>
      </c>
      <c r="P129">
        <v>14</v>
      </c>
      <c r="Q129" t="s">
        <v>22</v>
      </c>
      <c r="R129">
        <v>11</v>
      </c>
      <c r="S129">
        <v>2022</v>
      </c>
      <c r="T129" t="s">
        <v>53</v>
      </c>
    </row>
    <row r="130" spans="1:20" x14ac:dyDescent="0.3">
      <c r="A130" t="s">
        <v>26</v>
      </c>
      <c r="B130">
        <v>26</v>
      </c>
      <c r="C130" t="s">
        <v>35</v>
      </c>
      <c r="D130">
        <v>120</v>
      </c>
      <c r="E130" s="20">
        <v>44756</v>
      </c>
      <c r="F130">
        <v>8</v>
      </c>
      <c r="G130">
        <v>6.5</v>
      </c>
      <c r="H130">
        <v>70</v>
      </c>
      <c r="I130">
        <v>3</v>
      </c>
      <c r="J130">
        <v>42</v>
      </c>
      <c r="K130">
        <v>69</v>
      </c>
      <c r="L130">
        <v>5.5</v>
      </c>
      <c r="M130" t="s">
        <v>27</v>
      </c>
      <c r="N130">
        <v>20</v>
      </c>
      <c r="O130" t="s">
        <v>21</v>
      </c>
      <c r="P130">
        <v>12</v>
      </c>
      <c r="Q130" t="s">
        <v>22</v>
      </c>
      <c r="R130">
        <v>10</v>
      </c>
      <c r="S130">
        <v>2022</v>
      </c>
      <c r="T130" t="s">
        <v>53</v>
      </c>
    </row>
    <row r="131" spans="1:20" x14ac:dyDescent="0.3">
      <c r="A131" t="s">
        <v>26</v>
      </c>
      <c r="B131">
        <v>26</v>
      </c>
      <c r="C131" t="s">
        <v>35</v>
      </c>
      <c r="D131">
        <v>88</v>
      </c>
      <c r="E131" s="20">
        <v>44764</v>
      </c>
      <c r="F131">
        <v>8</v>
      </c>
      <c r="G131">
        <v>6.5</v>
      </c>
      <c r="H131">
        <v>70</v>
      </c>
      <c r="I131">
        <v>3</v>
      </c>
      <c r="J131">
        <v>42</v>
      </c>
      <c r="K131">
        <v>69</v>
      </c>
      <c r="L131">
        <v>5.5</v>
      </c>
      <c r="M131" t="s">
        <v>27</v>
      </c>
      <c r="N131">
        <v>20</v>
      </c>
      <c r="O131" t="s">
        <v>21</v>
      </c>
      <c r="P131">
        <v>12</v>
      </c>
      <c r="Q131" t="s">
        <v>22</v>
      </c>
      <c r="R131">
        <v>10</v>
      </c>
      <c r="S131">
        <v>2022</v>
      </c>
      <c r="T131" t="s">
        <v>53</v>
      </c>
    </row>
    <row r="132" spans="1:20" x14ac:dyDescent="0.3">
      <c r="A132" t="s">
        <v>30</v>
      </c>
      <c r="B132">
        <v>14</v>
      </c>
      <c r="C132" t="s">
        <v>19</v>
      </c>
      <c r="D132">
        <v>114</v>
      </c>
      <c r="E132" s="20">
        <v>44578</v>
      </c>
      <c r="F132">
        <v>17</v>
      </c>
      <c r="G132">
        <v>70.63</v>
      </c>
      <c r="H132">
        <v>41</v>
      </c>
      <c r="I132">
        <v>3.9</v>
      </c>
      <c r="J132">
        <v>59.4</v>
      </c>
      <c r="K132">
        <v>95</v>
      </c>
      <c r="L132">
        <v>15.6</v>
      </c>
      <c r="M132" t="s">
        <v>27</v>
      </c>
      <c r="N132">
        <v>23.7</v>
      </c>
      <c r="O132" t="s">
        <v>31</v>
      </c>
      <c r="P132">
        <v>15.6</v>
      </c>
      <c r="Q132" t="s">
        <v>25</v>
      </c>
      <c r="R132">
        <v>15.1</v>
      </c>
      <c r="S132">
        <v>2022</v>
      </c>
      <c r="T132" t="s">
        <v>47</v>
      </c>
    </row>
    <row r="133" spans="1:20" x14ac:dyDescent="0.3">
      <c r="A133" t="s">
        <v>30</v>
      </c>
      <c r="B133">
        <v>14</v>
      </c>
      <c r="C133" t="s">
        <v>23</v>
      </c>
      <c r="D133">
        <v>11</v>
      </c>
      <c r="E133" s="20">
        <v>44579</v>
      </c>
      <c r="F133">
        <v>8</v>
      </c>
      <c r="G133">
        <v>65</v>
      </c>
      <c r="H133">
        <v>25</v>
      </c>
      <c r="I133">
        <v>3.6</v>
      </c>
      <c r="J133">
        <v>55</v>
      </c>
      <c r="K133">
        <v>65</v>
      </c>
      <c r="L133">
        <v>14</v>
      </c>
      <c r="M133" t="s">
        <v>27</v>
      </c>
      <c r="N133">
        <v>21.5</v>
      </c>
      <c r="O133" t="s">
        <v>31</v>
      </c>
      <c r="P133">
        <v>13.9</v>
      </c>
      <c r="Q133" t="s">
        <v>25</v>
      </c>
      <c r="R133">
        <v>14.2</v>
      </c>
      <c r="S133">
        <v>2022</v>
      </c>
      <c r="T133" t="s">
        <v>47</v>
      </c>
    </row>
    <row r="134" spans="1:20" x14ac:dyDescent="0.3">
      <c r="A134" t="s">
        <v>30</v>
      </c>
      <c r="B134">
        <v>14</v>
      </c>
      <c r="C134" t="s">
        <v>19</v>
      </c>
      <c r="D134">
        <v>12</v>
      </c>
      <c r="E134" s="20">
        <v>44590</v>
      </c>
      <c r="F134">
        <v>15</v>
      </c>
      <c r="G134">
        <v>70.63</v>
      </c>
      <c r="H134">
        <v>41</v>
      </c>
      <c r="I134">
        <v>3.9</v>
      </c>
      <c r="J134">
        <v>59.4</v>
      </c>
      <c r="K134">
        <v>90</v>
      </c>
      <c r="L134">
        <v>15.6</v>
      </c>
      <c r="M134" t="s">
        <v>27</v>
      </c>
      <c r="N134">
        <v>23.7</v>
      </c>
      <c r="O134" t="s">
        <v>31</v>
      </c>
      <c r="P134">
        <v>15.6</v>
      </c>
      <c r="Q134" t="s">
        <v>25</v>
      </c>
      <c r="R134">
        <v>15.1</v>
      </c>
      <c r="S134">
        <v>2022</v>
      </c>
      <c r="T134" t="s">
        <v>47</v>
      </c>
    </row>
    <row r="135" spans="1:20" x14ac:dyDescent="0.3">
      <c r="A135" t="s">
        <v>30</v>
      </c>
      <c r="B135">
        <v>14</v>
      </c>
      <c r="C135" t="s">
        <v>23</v>
      </c>
      <c r="D135">
        <v>39</v>
      </c>
      <c r="E135" s="20">
        <v>44591</v>
      </c>
      <c r="F135">
        <v>9</v>
      </c>
      <c r="G135">
        <v>65</v>
      </c>
      <c r="H135">
        <v>25</v>
      </c>
      <c r="I135">
        <v>3.5</v>
      </c>
      <c r="J135">
        <v>55</v>
      </c>
      <c r="K135">
        <v>64</v>
      </c>
      <c r="L135">
        <v>14</v>
      </c>
      <c r="M135" t="s">
        <v>27</v>
      </c>
      <c r="N135">
        <v>21.5</v>
      </c>
      <c r="O135" t="s">
        <v>31</v>
      </c>
      <c r="P135">
        <v>13.9</v>
      </c>
      <c r="Q135" t="s">
        <v>25</v>
      </c>
      <c r="R135">
        <v>14.2</v>
      </c>
      <c r="S135">
        <v>2022</v>
      </c>
      <c r="T135" t="s">
        <v>47</v>
      </c>
    </row>
    <row r="136" spans="1:20" x14ac:dyDescent="0.3">
      <c r="A136" t="s">
        <v>30</v>
      </c>
      <c r="B136">
        <v>14</v>
      </c>
      <c r="C136" t="s">
        <v>19</v>
      </c>
      <c r="D136">
        <v>50</v>
      </c>
      <c r="E136" s="20">
        <v>44602</v>
      </c>
      <c r="F136">
        <v>14</v>
      </c>
      <c r="G136">
        <v>70.63</v>
      </c>
      <c r="H136">
        <v>41</v>
      </c>
      <c r="I136">
        <v>3.9</v>
      </c>
      <c r="J136">
        <v>59.4</v>
      </c>
      <c r="K136">
        <v>89</v>
      </c>
      <c r="L136">
        <v>15.6</v>
      </c>
      <c r="M136" t="s">
        <v>27</v>
      </c>
      <c r="N136">
        <v>23.7</v>
      </c>
      <c r="O136" t="s">
        <v>31</v>
      </c>
      <c r="P136">
        <v>15.6</v>
      </c>
      <c r="Q136" t="s">
        <v>25</v>
      </c>
      <c r="R136">
        <v>15.1</v>
      </c>
      <c r="S136">
        <v>2022</v>
      </c>
      <c r="T136" t="s">
        <v>48</v>
      </c>
    </row>
    <row r="137" spans="1:20" x14ac:dyDescent="0.3">
      <c r="A137" t="s">
        <v>30</v>
      </c>
      <c r="B137">
        <v>14</v>
      </c>
      <c r="C137" t="s">
        <v>23</v>
      </c>
      <c r="D137">
        <v>80</v>
      </c>
      <c r="E137" s="20">
        <v>44603</v>
      </c>
      <c r="F137">
        <v>10</v>
      </c>
      <c r="G137">
        <v>65</v>
      </c>
      <c r="H137">
        <v>25</v>
      </c>
      <c r="I137">
        <v>3.5</v>
      </c>
      <c r="J137">
        <v>55</v>
      </c>
      <c r="K137">
        <v>65</v>
      </c>
      <c r="L137">
        <v>14</v>
      </c>
      <c r="M137" t="s">
        <v>27</v>
      </c>
      <c r="N137">
        <v>21.5</v>
      </c>
      <c r="O137" t="s">
        <v>31</v>
      </c>
      <c r="P137">
        <v>13.9</v>
      </c>
      <c r="Q137" t="s">
        <v>25</v>
      </c>
      <c r="R137">
        <v>14.2</v>
      </c>
      <c r="S137">
        <v>2022</v>
      </c>
      <c r="T137" t="s">
        <v>48</v>
      </c>
    </row>
    <row r="138" spans="1:20" x14ac:dyDescent="0.3">
      <c r="A138" t="s">
        <v>30</v>
      </c>
      <c r="B138">
        <v>14</v>
      </c>
      <c r="C138" t="s">
        <v>19</v>
      </c>
      <c r="D138">
        <v>100</v>
      </c>
      <c r="E138" s="20">
        <v>44614</v>
      </c>
      <c r="F138">
        <v>14</v>
      </c>
      <c r="G138">
        <v>70.63</v>
      </c>
      <c r="H138">
        <v>41</v>
      </c>
      <c r="I138">
        <v>3.9</v>
      </c>
      <c r="J138">
        <v>59.4</v>
      </c>
      <c r="K138">
        <v>89</v>
      </c>
      <c r="L138">
        <v>15.6</v>
      </c>
      <c r="M138" t="s">
        <v>27</v>
      </c>
      <c r="N138">
        <v>23.7</v>
      </c>
      <c r="O138" t="s">
        <v>31</v>
      </c>
      <c r="P138">
        <v>15.6</v>
      </c>
      <c r="Q138" t="s">
        <v>25</v>
      </c>
      <c r="R138">
        <v>15.1</v>
      </c>
      <c r="S138">
        <v>2022</v>
      </c>
      <c r="T138" t="s">
        <v>48</v>
      </c>
    </row>
    <row r="139" spans="1:20" x14ac:dyDescent="0.3">
      <c r="A139" t="s">
        <v>30</v>
      </c>
      <c r="B139">
        <v>14</v>
      </c>
      <c r="C139" t="s">
        <v>23</v>
      </c>
      <c r="D139">
        <v>8</v>
      </c>
      <c r="E139" s="20">
        <v>44615</v>
      </c>
      <c r="F139">
        <v>10</v>
      </c>
      <c r="G139">
        <v>65</v>
      </c>
      <c r="H139">
        <v>25</v>
      </c>
      <c r="I139">
        <v>3.5</v>
      </c>
      <c r="J139">
        <v>55</v>
      </c>
      <c r="K139">
        <v>65</v>
      </c>
      <c r="L139">
        <v>14</v>
      </c>
      <c r="M139" t="s">
        <v>27</v>
      </c>
      <c r="N139">
        <v>21.5</v>
      </c>
      <c r="O139" t="s">
        <v>31</v>
      </c>
      <c r="P139">
        <v>13.9</v>
      </c>
      <c r="Q139" t="s">
        <v>25</v>
      </c>
      <c r="R139">
        <v>14.2</v>
      </c>
      <c r="S139">
        <v>2022</v>
      </c>
      <c r="T139" t="s">
        <v>48</v>
      </c>
    </row>
    <row r="140" spans="1:20" x14ac:dyDescent="0.3">
      <c r="A140" t="s">
        <v>30</v>
      </c>
      <c r="B140">
        <v>14</v>
      </c>
      <c r="C140" t="s">
        <v>19</v>
      </c>
      <c r="D140">
        <v>10</v>
      </c>
      <c r="E140" s="20">
        <v>44626</v>
      </c>
      <c r="F140">
        <v>14</v>
      </c>
      <c r="G140">
        <v>70.63</v>
      </c>
      <c r="H140">
        <v>41</v>
      </c>
      <c r="I140">
        <v>3.9</v>
      </c>
      <c r="J140">
        <v>59.4</v>
      </c>
      <c r="K140">
        <v>89</v>
      </c>
      <c r="L140">
        <v>15.6</v>
      </c>
      <c r="M140" t="s">
        <v>27</v>
      </c>
      <c r="N140">
        <v>23.7</v>
      </c>
      <c r="O140" t="s">
        <v>31</v>
      </c>
      <c r="P140">
        <v>15.6</v>
      </c>
      <c r="Q140" t="s">
        <v>25</v>
      </c>
      <c r="R140">
        <v>15.1</v>
      </c>
      <c r="S140">
        <v>2022</v>
      </c>
      <c r="T140" t="s">
        <v>49</v>
      </c>
    </row>
    <row r="141" spans="1:20" x14ac:dyDescent="0.3">
      <c r="A141" t="s">
        <v>30</v>
      </c>
      <c r="B141">
        <v>14</v>
      </c>
      <c r="C141" t="s">
        <v>23</v>
      </c>
      <c r="D141">
        <v>80</v>
      </c>
      <c r="E141" s="20">
        <v>44627</v>
      </c>
      <c r="F141">
        <v>10</v>
      </c>
      <c r="G141">
        <v>65</v>
      </c>
      <c r="H141">
        <v>25</v>
      </c>
      <c r="I141">
        <v>3.5</v>
      </c>
      <c r="J141">
        <v>55</v>
      </c>
      <c r="K141">
        <v>65</v>
      </c>
      <c r="L141">
        <v>14</v>
      </c>
      <c r="M141" t="s">
        <v>27</v>
      </c>
      <c r="N141">
        <v>21.5</v>
      </c>
      <c r="O141" t="s">
        <v>31</v>
      </c>
      <c r="P141">
        <v>13.9</v>
      </c>
      <c r="Q141" t="s">
        <v>25</v>
      </c>
      <c r="R141">
        <v>14.2</v>
      </c>
      <c r="S141">
        <v>2022</v>
      </c>
      <c r="T141" t="s">
        <v>49</v>
      </c>
    </row>
    <row r="142" spans="1:20" x14ac:dyDescent="0.3">
      <c r="A142" t="s">
        <v>30</v>
      </c>
      <c r="B142">
        <v>14</v>
      </c>
      <c r="C142" t="s">
        <v>19</v>
      </c>
      <c r="D142">
        <v>6</v>
      </c>
      <c r="E142" s="20">
        <v>44638</v>
      </c>
      <c r="F142">
        <v>18</v>
      </c>
      <c r="G142">
        <v>70.63</v>
      </c>
      <c r="H142">
        <v>41</v>
      </c>
      <c r="I142">
        <v>4.0999999999999996</v>
      </c>
      <c r="J142">
        <v>59.4</v>
      </c>
      <c r="K142">
        <v>95</v>
      </c>
      <c r="L142">
        <v>15.6</v>
      </c>
      <c r="M142" t="s">
        <v>27</v>
      </c>
      <c r="N142">
        <v>23.7</v>
      </c>
      <c r="O142" t="s">
        <v>31</v>
      </c>
      <c r="P142">
        <v>15.6</v>
      </c>
      <c r="Q142" t="s">
        <v>25</v>
      </c>
      <c r="R142">
        <v>15.1</v>
      </c>
      <c r="S142">
        <v>2022</v>
      </c>
      <c r="T142" t="s">
        <v>49</v>
      </c>
    </row>
    <row r="143" spans="1:20" x14ac:dyDescent="0.3">
      <c r="A143" t="s">
        <v>30</v>
      </c>
      <c r="B143">
        <v>14</v>
      </c>
      <c r="C143" t="s">
        <v>23</v>
      </c>
      <c r="D143">
        <v>13</v>
      </c>
      <c r="E143" s="20">
        <v>44639</v>
      </c>
      <c r="F143">
        <v>9</v>
      </c>
      <c r="G143">
        <v>65</v>
      </c>
      <c r="H143">
        <v>25</v>
      </c>
      <c r="I143">
        <v>3.4</v>
      </c>
      <c r="J143">
        <v>55</v>
      </c>
      <c r="K143">
        <v>64</v>
      </c>
      <c r="L143">
        <v>14</v>
      </c>
      <c r="M143" t="s">
        <v>27</v>
      </c>
      <c r="N143">
        <v>21.5</v>
      </c>
      <c r="O143" t="s">
        <v>31</v>
      </c>
      <c r="P143">
        <v>13.9</v>
      </c>
      <c r="Q143" t="s">
        <v>25</v>
      </c>
      <c r="R143">
        <v>14.2</v>
      </c>
      <c r="S143">
        <v>2022</v>
      </c>
      <c r="T143" t="s">
        <v>49</v>
      </c>
    </row>
    <row r="144" spans="1:20" x14ac:dyDescent="0.3">
      <c r="A144" t="s">
        <v>30</v>
      </c>
      <c r="B144">
        <v>14</v>
      </c>
      <c r="C144" t="s">
        <v>19</v>
      </c>
      <c r="D144">
        <v>6</v>
      </c>
      <c r="E144" s="20">
        <v>44650</v>
      </c>
      <c r="F144">
        <v>18</v>
      </c>
      <c r="G144">
        <v>70.63</v>
      </c>
      <c r="H144">
        <v>41</v>
      </c>
      <c r="I144">
        <v>4.0999999999999996</v>
      </c>
      <c r="J144">
        <v>59.4</v>
      </c>
      <c r="K144">
        <v>95</v>
      </c>
      <c r="L144">
        <v>15.6</v>
      </c>
      <c r="M144" t="s">
        <v>27</v>
      </c>
      <c r="N144">
        <v>23.7</v>
      </c>
      <c r="O144" t="s">
        <v>31</v>
      </c>
      <c r="P144">
        <v>15.6</v>
      </c>
      <c r="Q144" t="s">
        <v>25</v>
      </c>
      <c r="R144">
        <v>15.1</v>
      </c>
      <c r="S144">
        <v>2022</v>
      </c>
      <c r="T144" t="s">
        <v>49</v>
      </c>
    </row>
    <row r="145" spans="1:20" x14ac:dyDescent="0.3">
      <c r="A145" t="s">
        <v>30</v>
      </c>
      <c r="B145">
        <v>14</v>
      </c>
      <c r="C145" t="s">
        <v>23</v>
      </c>
      <c r="D145">
        <v>3</v>
      </c>
      <c r="E145" s="20">
        <v>44651</v>
      </c>
      <c r="F145">
        <v>9</v>
      </c>
      <c r="G145">
        <v>65</v>
      </c>
      <c r="H145">
        <v>25</v>
      </c>
      <c r="I145">
        <v>3.4</v>
      </c>
      <c r="J145">
        <v>55</v>
      </c>
      <c r="K145">
        <v>64</v>
      </c>
      <c r="L145">
        <v>14</v>
      </c>
      <c r="M145" t="s">
        <v>27</v>
      </c>
      <c r="N145">
        <v>21.5</v>
      </c>
      <c r="O145" t="s">
        <v>31</v>
      </c>
      <c r="P145">
        <v>13.9</v>
      </c>
      <c r="Q145" t="s">
        <v>25</v>
      </c>
      <c r="R145">
        <v>14.2</v>
      </c>
      <c r="S145">
        <v>2022</v>
      </c>
      <c r="T145" t="s">
        <v>49</v>
      </c>
    </row>
    <row r="146" spans="1:20" x14ac:dyDescent="0.3">
      <c r="A146" t="s">
        <v>30</v>
      </c>
      <c r="B146">
        <v>14</v>
      </c>
      <c r="C146" t="s">
        <v>19</v>
      </c>
      <c r="D146">
        <v>8</v>
      </c>
      <c r="E146" s="20">
        <v>44662</v>
      </c>
      <c r="F146">
        <v>17</v>
      </c>
      <c r="G146">
        <v>72</v>
      </c>
      <c r="H146">
        <v>42</v>
      </c>
      <c r="I146">
        <v>4.2</v>
      </c>
      <c r="J146">
        <v>0</v>
      </c>
      <c r="K146">
        <v>96</v>
      </c>
      <c r="L146">
        <v>14.5</v>
      </c>
      <c r="M146" t="s">
        <v>27</v>
      </c>
      <c r="N146">
        <v>21</v>
      </c>
      <c r="O146" t="s">
        <v>31</v>
      </c>
      <c r="P146">
        <v>16</v>
      </c>
      <c r="Q146" t="s">
        <v>25</v>
      </c>
      <c r="R146">
        <v>15.5</v>
      </c>
      <c r="S146">
        <v>2022</v>
      </c>
      <c r="T146" t="s">
        <v>50</v>
      </c>
    </row>
    <row r="147" spans="1:20" x14ac:dyDescent="0.3">
      <c r="A147" t="s">
        <v>30</v>
      </c>
      <c r="B147">
        <v>14</v>
      </c>
      <c r="C147" t="s">
        <v>23</v>
      </c>
      <c r="D147">
        <v>115</v>
      </c>
      <c r="E147" s="20">
        <v>44663</v>
      </c>
      <c r="F147">
        <v>8</v>
      </c>
      <c r="G147">
        <v>67</v>
      </c>
      <c r="H147">
        <v>27</v>
      </c>
      <c r="I147">
        <v>3.7</v>
      </c>
      <c r="J147">
        <v>56</v>
      </c>
      <c r="K147">
        <v>62</v>
      </c>
      <c r="L147">
        <v>12.5</v>
      </c>
      <c r="M147" t="s">
        <v>27</v>
      </c>
      <c r="N147">
        <v>20.5</v>
      </c>
      <c r="O147" t="s">
        <v>31</v>
      </c>
      <c r="P147">
        <v>14</v>
      </c>
      <c r="Q147" t="s">
        <v>25</v>
      </c>
      <c r="R147">
        <v>13.5</v>
      </c>
      <c r="S147">
        <v>2022</v>
      </c>
      <c r="T147" t="s">
        <v>50</v>
      </c>
    </row>
    <row r="148" spans="1:20" x14ac:dyDescent="0.3">
      <c r="A148" t="s">
        <v>30</v>
      </c>
      <c r="B148">
        <v>14</v>
      </c>
      <c r="C148" t="s">
        <v>19</v>
      </c>
      <c r="D148">
        <v>6</v>
      </c>
      <c r="E148" s="20">
        <v>44684</v>
      </c>
      <c r="F148">
        <v>18</v>
      </c>
      <c r="G148">
        <v>70.63</v>
      </c>
      <c r="H148">
        <v>41</v>
      </c>
      <c r="I148">
        <v>4.0999999999999996</v>
      </c>
      <c r="J148">
        <v>59.4</v>
      </c>
      <c r="K148">
        <v>95</v>
      </c>
      <c r="L148">
        <v>15.6</v>
      </c>
      <c r="M148" t="s">
        <v>27</v>
      </c>
      <c r="N148">
        <v>23.7</v>
      </c>
      <c r="O148" t="s">
        <v>31</v>
      </c>
      <c r="P148">
        <v>15.6</v>
      </c>
      <c r="Q148" t="s">
        <v>25</v>
      </c>
      <c r="R148">
        <v>15.1</v>
      </c>
      <c r="S148">
        <v>2022</v>
      </c>
      <c r="T148" t="s">
        <v>51</v>
      </c>
    </row>
    <row r="149" spans="1:20" x14ac:dyDescent="0.3">
      <c r="A149" t="s">
        <v>30</v>
      </c>
      <c r="B149">
        <v>14</v>
      </c>
      <c r="C149" t="s">
        <v>23</v>
      </c>
      <c r="D149">
        <v>113</v>
      </c>
      <c r="E149" s="20">
        <v>44685</v>
      </c>
      <c r="F149">
        <v>9</v>
      </c>
      <c r="G149">
        <v>65</v>
      </c>
      <c r="H149">
        <v>25</v>
      </c>
      <c r="I149">
        <v>3.4</v>
      </c>
      <c r="J149">
        <v>55</v>
      </c>
      <c r="K149">
        <v>64</v>
      </c>
      <c r="L149">
        <v>14</v>
      </c>
      <c r="M149" t="s">
        <v>27</v>
      </c>
      <c r="N149">
        <v>21.5</v>
      </c>
      <c r="O149" t="s">
        <v>31</v>
      </c>
      <c r="P149">
        <v>13.9</v>
      </c>
      <c r="Q149" t="s">
        <v>25</v>
      </c>
      <c r="R149">
        <v>14.2</v>
      </c>
      <c r="S149">
        <v>2022</v>
      </c>
      <c r="T149" t="s">
        <v>51</v>
      </c>
    </row>
    <row r="150" spans="1:20" x14ac:dyDescent="0.3">
      <c r="A150" t="s">
        <v>30</v>
      </c>
      <c r="B150">
        <v>14</v>
      </c>
      <c r="C150" t="s">
        <v>35</v>
      </c>
      <c r="D150">
        <v>0</v>
      </c>
      <c r="E150" s="20">
        <v>44686</v>
      </c>
      <c r="F150">
        <v>7</v>
      </c>
      <c r="G150">
        <v>64</v>
      </c>
      <c r="H150">
        <v>26</v>
      </c>
      <c r="I150">
        <v>3.5</v>
      </c>
      <c r="J150">
        <v>53</v>
      </c>
      <c r="K150">
        <v>54</v>
      </c>
      <c r="L150">
        <v>12</v>
      </c>
      <c r="M150" t="s">
        <v>27</v>
      </c>
      <c r="N150">
        <v>20</v>
      </c>
      <c r="O150" t="s">
        <v>31</v>
      </c>
      <c r="P150">
        <v>12.5</v>
      </c>
      <c r="Q150" t="s">
        <v>25</v>
      </c>
      <c r="R150">
        <v>12</v>
      </c>
      <c r="S150">
        <v>2022</v>
      </c>
      <c r="T150" t="s">
        <v>51</v>
      </c>
    </row>
    <row r="151" spans="1:20" x14ac:dyDescent="0.3">
      <c r="A151" t="s">
        <v>30</v>
      </c>
      <c r="B151">
        <v>14</v>
      </c>
      <c r="C151" t="s">
        <v>19</v>
      </c>
      <c r="D151">
        <v>18</v>
      </c>
      <c r="E151" s="20">
        <v>44701</v>
      </c>
      <c r="F151">
        <v>17</v>
      </c>
      <c r="G151">
        <v>72</v>
      </c>
      <c r="H151">
        <v>42</v>
      </c>
      <c r="I151">
        <v>4.2</v>
      </c>
      <c r="J151">
        <v>60</v>
      </c>
      <c r="K151">
        <v>96</v>
      </c>
      <c r="L151">
        <v>14.5</v>
      </c>
      <c r="M151" t="s">
        <v>27</v>
      </c>
      <c r="N151">
        <v>21</v>
      </c>
      <c r="O151" t="s">
        <v>31</v>
      </c>
      <c r="P151">
        <v>16</v>
      </c>
      <c r="Q151" t="s">
        <v>25</v>
      </c>
      <c r="R151">
        <v>15.5</v>
      </c>
      <c r="S151">
        <v>2022</v>
      </c>
      <c r="T151" t="s">
        <v>51</v>
      </c>
    </row>
    <row r="152" spans="1:20" x14ac:dyDescent="0.3">
      <c r="A152" t="s">
        <v>30</v>
      </c>
      <c r="B152">
        <v>14</v>
      </c>
      <c r="C152" t="s">
        <v>23</v>
      </c>
      <c r="D152">
        <v>15</v>
      </c>
      <c r="E152" s="20">
        <v>44702</v>
      </c>
      <c r="F152">
        <v>8</v>
      </c>
      <c r="G152">
        <v>67</v>
      </c>
      <c r="H152">
        <v>27</v>
      </c>
      <c r="I152">
        <v>3.7</v>
      </c>
      <c r="J152">
        <v>56</v>
      </c>
      <c r="K152">
        <v>62</v>
      </c>
      <c r="L152">
        <v>12.5</v>
      </c>
      <c r="M152" t="s">
        <v>27</v>
      </c>
      <c r="N152">
        <v>20.5</v>
      </c>
      <c r="O152" t="s">
        <v>31</v>
      </c>
      <c r="P152">
        <v>14</v>
      </c>
      <c r="Q152" t="s">
        <v>25</v>
      </c>
      <c r="R152">
        <v>13.5</v>
      </c>
      <c r="S152">
        <v>2022</v>
      </c>
      <c r="T152" t="s">
        <v>51</v>
      </c>
    </row>
    <row r="153" spans="1:20" x14ac:dyDescent="0.3">
      <c r="A153" t="s">
        <v>30</v>
      </c>
      <c r="B153">
        <v>14</v>
      </c>
      <c r="C153" t="s">
        <v>35</v>
      </c>
      <c r="D153">
        <v>15</v>
      </c>
      <c r="E153" s="20">
        <v>44703</v>
      </c>
      <c r="F153">
        <v>6</v>
      </c>
      <c r="G153">
        <v>66</v>
      </c>
      <c r="H153">
        <v>25</v>
      </c>
      <c r="I153">
        <v>3.5</v>
      </c>
      <c r="J153">
        <v>54</v>
      </c>
      <c r="K153">
        <v>52</v>
      </c>
      <c r="L153">
        <v>12</v>
      </c>
      <c r="M153" t="s">
        <v>27</v>
      </c>
      <c r="N153">
        <v>19</v>
      </c>
      <c r="O153" t="s">
        <v>31</v>
      </c>
      <c r="P153">
        <v>13</v>
      </c>
      <c r="Q153" t="s">
        <v>25</v>
      </c>
      <c r="R153">
        <v>12</v>
      </c>
      <c r="S153">
        <v>2022</v>
      </c>
      <c r="T153" t="s">
        <v>51</v>
      </c>
    </row>
    <row r="154" spans="1:20" x14ac:dyDescent="0.3">
      <c r="A154" t="s">
        <v>30</v>
      </c>
      <c r="B154">
        <v>14</v>
      </c>
      <c r="C154" t="s">
        <v>19</v>
      </c>
      <c r="D154">
        <v>119</v>
      </c>
      <c r="E154" s="20">
        <v>44713</v>
      </c>
      <c r="F154">
        <v>17</v>
      </c>
      <c r="G154">
        <v>70.63</v>
      </c>
      <c r="H154">
        <v>42</v>
      </c>
      <c r="I154">
        <v>4.2</v>
      </c>
      <c r="J154">
        <v>60</v>
      </c>
      <c r="K154">
        <v>96</v>
      </c>
      <c r="L154">
        <v>14.5</v>
      </c>
      <c r="M154" t="s">
        <v>27</v>
      </c>
      <c r="N154">
        <v>21</v>
      </c>
      <c r="O154" t="s">
        <v>31</v>
      </c>
      <c r="P154">
        <v>16</v>
      </c>
      <c r="Q154" t="s">
        <v>25</v>
      </c>
      <c r="R154">
        <v>15.5</v>
      </c>
      <c r="S154">
        <v>2022</v>
      </c>
      <c r="T154" t="s">
        <v>52</v>
      </c>
    </row>
    <row r="155" spans="1:20" x14ac:dyDescent="0.3">
      <c r="A155" t="s">
        <v>30</v>
      </c>
      <c r="B155">
        <v>14</v>
      </c>
      <c r="C155" t="s">
        <v>23</v>
      </c>
      <c r="D155">
        <v>116</v>
      </c>
      <c r="E155" s="20">
        <v>44714</v>
      </c>
      <c r="F155">
        <v>9</v>
      </c>
      <c r="G155">
        <v>67</v>
      </c>
      <c r="H155">
        <v>27</v>
      </c>
      <c r="I155">
        <v>3.7</v>
      </c>
      <c r="J155">
        <v>56</v>
      </c>
      <c r="K155">
        <v>62</v>
      </c>
      <c r="L155">
        <v>12.5</v>
      </c>
      <c r="M155" t="s">
        <v>27</v>
      </c>
      <c r="N155">
        <v>20.5</v>
      </c>
      <c r="O155" t="s">
        <v>31</v>
      </c>
      <c r="P155">
        <v>14</v>
      </c>
      <c r="Q155" t="s">
        <v>25</v>
      </c>
      <c r="R155">
        <v>13.5</v>
      </c>
      <c r="S155">
        <v>2022</v>
      </c>
      <c r="T155" t="s">
        <v>52</v>
      </c>
    </row>
    <row r="156" spans="1:20" x14ac:dyDescent="0.3">
      <c r="A156" t="s">
        <v>30</v>
      </c>
      <c r="B156">
        <v>14</v>
      </c>
      <c r="C156" t="s">
        <v>35</v>
      </c>
      <c r="D156">
        <v>122</v>
      </c>
      <c r="E156" s="20">
        <v>44715</v>
      </c>
      <c r="F156">
        <v>6</v>
      </c>
      <c r="G156">
        <v>66</v>
      </c>
      <c r="H156">
        <v>25</v>
      </c>
      <c r="I156">
        <v>3.5</v>
      </c>
      <c r="J156">
        <v>54</v>
      </c>
      <c r="K156">
        <v>52</v>
      </c>
      <c r="L156">
        <v>12</v>
      </c>
      <c r="M156" t="s">
        <v>27</v>
      </c>
      <c r="N156">
        <v>19</v>
      </c>
      <c r="O156" t="s">
        <v>31</v>
      </c>
      <c r="P156">
        <v>13</v>
      </c>
      <c r="Q156" t="s">
        <v>25</v>
      </c>
      <c r="R156">
        <v>12</v>
      </c>
      <c r="S156">
        <v>2022</v>
      </c>
      <c r="T156" t="s">
        <v>52</v>
      </c>
    </row>
    <row r="157" spans="1:20" x14ac:dyDescent="0.3">
      <c r="A157" t="s">
        <v>30</v>
      </c>
      <c r="B157">
        <v>14</v>
      </c>
      <c r="C157" t="s">
        <v>23</v>
      </c>
      <c r="D157">
        <v>2</v>
      </c>
      <c r="E157" s="20">
        <v>44732</v>
      </c>
      <c r="F157">
        <v>14</v>
      </c>
      <c r="G157">
        <v>70.63</v>
      </c>
      <c r="H157">
        <v>41</v>
      </c>
      <c r="I157">
        <v>3.9</v>
      </c>
      <c r="J157">
        <v>59.4</v>
      </c>
      <c r="K157">
        <v>25</v>
      </c>
      <c r="L157">
        <v>15.6</v>
      </c>
      <c r="M157" t="s">
        <v>27</v>
      </c>
      <c r="N157">
        <v>23.7</v>
      </c>
      <c r="O157" t="s">
        <v>31</v>
      </c>
      <c r="P157">
        <v>15.6</v>
      </c>
      <c r="Q157" t="s">
        <v>25</v>
      </c>
      <c r="R157">
        <v>15.1</v>
      </c>
      <c r="S157">
        <v>2022</v>
      </c>
      <c r="T157" t="s">
        <v>52</v>
      </c>
    </row>
    <row r="158" spans="1:20" x14ac:dyDescent="0.3">
      <c r="A158" t="s">
        <v>30</v>
      </c>
      <c r="B158">
        <v>14</v>
      </c>
      <c r="C158" t="s">
        <v>19</v>
      </c>
      <c r="D158">
        <v>19</v>
      </c>
      <c r="E158" s="20">
        <v>44739</v>
      </c>
      <c r="F158">
        <v>17</v>
      </c>
      <c r="G158">
        <v>72</v>
      </c>
      <c r="H158">
        <v>42</v>
      </c>
      <c r="I158">
        <v>4</v>
      </c>
      <c r="J158">
        <v>60</v>
      </c>
      <c r="K158">
        <v>98</v>
      </c>
      <c r="L158">
        <v>14.5</v>
      </c>
      <c r="M158" t="s">
        <v>27</v>
      </c>
      <c r="N158">
        <v>21</v>
      </c>
      <c r="O158" t="s">
        <v>31</v>
      </c>
      <c r="P158">
        <v>16</v>
      </c>
      <c r="Q158" t="s">
        <v>25</v>
      </c>
      <c r="R158">
        <v>15.5</v>
      </c>
      <c r="S158">
        <v>2022</v>
      </c>
      <c r="T158" t="s">
        <v>52</v>
      </c>
    </row>
    <row r="159" spans="1:20" x14ac:dyDescent="0.3">
      <c r="A159" t="s">
        <v>30</v>
      </c>
      <c r="B159">
        <v>14</v>
      </c>
      <c r="C159" t="s">
        <v>23</v>
      </c>
      <c r="D159">
        <v>116</v>
      </c>
      <c r="E159" s="20">
        <v>44740</v>
      </c>
      <c r="F159">
        <v>10</v>
      </c>
      <c r="G159">
        <v>67</v>
      </c>
      <c r="H159">
        <v>27</v>
      </c>
      <c r="I159">
        <v>3.5</v>
      </c>
      <c r="J159">
        <v>56</v>
      </c>
      <c r="K159">
        <v>62</v>
      </c>
      <c r="L159">
        <v>12.5</v>
      </c>
      <c r="M159" t="s">
        <v>27</v>
      </c>
      <c r="N159">
        <v>20.5</v>
      </c>
      <c r="O159" t="s">
        <v>31</v>
      </c>
      <c r="P159">
        <v>14</v>
      </c>
      <c r="Q159" t="s">
        <v>25</v>
      </c>
      <c r="R159">
        <v>13</v>
      </c>
      <c r="S159">
        <v>2022</v>
      </c>
      <c r="T159" t="s">
        <v>52</v>
      </c>
    </row>
    <row r="160" spans="1:20" x14ac:dyDescent="0.3">
      <c r="A160" t="s">
        <v>30</v>
      </c>
      <c r="B160">
        <v>14</v>
      </c>
      <c r="C160" t="s">
        <v>35</v>
      </c>
      <c r="D160">
        <v>4</v>
      </c>
      <c r="E160" s="20">
        <v>44741</v>
      </c>
      <c r="F160">
        <v>9</v>
      </c>
      <c r="G160">
        <v>66</v>
      </c>
      <c r="H160">
        <v>25</v>
      </c>
      <c r="I160">
        <v>3.4</v>
      </c>
      <c r="J160">
        <v>54</v>
      </c>
      <c r="K160">
        <v>52</v>
      </c>
      <c r="L160">
        <v>12</v>
      </c>
      <c r="M160" t="s">
        <v>27</v>
      </c>
      <c r="N160">
        <v>19</v>
      </c>
      <c r="O160" t="s">
        <v>31</v>
      </c>
      <c r="P160">
        <v>13</v>
      </c>
      <c r="Q160" t="s">
        <v>25</v>
      </c>
      <c r="R160">
        <v>12</v>
      </c>
      <c r="S160">
        <v>2022</v>
      </c>
      <c r="T160" t="s">
        <v>52</v>
      </c>
    </row>
    <row r="161" spans="1:20" x14ac:dyDescent="0.3">
      <c r="A161" t="s">
        <v>30</v>
      </c>
      <c r="B161">
        <v>14</v>
      </c>
      <c r="C161" t="s">
        <v>19</v>
      </c>
      <c r="D161">
        <v>20</v>
      </c>
      <c r="E161" s="20">
        <v>44760</v>
      </c>
      <c r="F161">
        <v>18</v>
      </c>
      <c r="G161">
        <v>72</v>
      </c>
      <c r="H161">
        <v>42</v>
      </c>
      <c r="I161">
        <v>4</v>
      </c>
      <c r="J161">
        <v>60</v>
      </c>
      <c r="K161">
        <v>98</v>
      </c>
      <c r="L161">
        <v>14.5</v>
      </c>
      <c r="M161" t="s">
        <v>27</v>
      </c>
      <c r="N161">
        <v>21</v>
      </c>
      <c r="O161" t="s">
        <v>31</v>
      </c>
      <c r="P161">
        <v>16</v>
      </c>
      <c r="Q161" t="s">
        <v>25</v>
      </c>
      <c r="R161">
        <v>15.5</v>
      </c>
      <c r="S161">
        <v>2022</v>
      </c>
      <c r="T161" t="s">
        <v>53</v>
      </c>
    </row>
    <row r="162" spans="1:20" x14ac:dyDescent="0.3">
      <c r="A162" t="s">
        <v>30</v>
      </c>
      <c r="B162">
        <v>14</v>
      </c>
      <c r="C162" t="s">
        <v>23</v>
      </c>
      <c r="D162">
        <v>16</v>
      </c>
      <c r="E162" s="20">
        <v>44761</v>
      </c>
      <c r="F162">
        <v>10</v>
      </c>
      <c r="G162">
        <v>67</v>
      </c>
      <c r="H162">
        <v>27</v>
      </c>
      <c r="I162">
        <v>3.5</v>
      </c>
      <c r="J162">
        <v>56</v>
      </c>
      <c r="K162">
        <v>62</v>
      </c>
      <c r="L162">
        <v>12.5</v>
      </c>
      <c r="M162" t="s">
        <v>27</v>
      </c>
      <c r="N162">
        <v>20.5</v>
      </c>
      <c r="O162" t="s">
        <v>31</v>
      </c>
      <c r="P162">
        <v>14</v>
      </c>
      <c r="Q162" t="s">
        <v>25</v>
      </c>
      <c r="R162">
        <v>13</v>
      </c>
      <c r="S162">
        <v>2022</v>
      </c>
      <c r="T162" t="s">
        <v>53</v>
      </c>
    </row>
    <row r="163" spans="1:20" x14ac:dyDescent="0.3">
      <c r="A163" t="s">
        <v>30</v>
      </c>
      <c r="B163">
        <v>14</v>
      </c>
      <c r="C163" t="s">
        <v>35</v>
      </c>
      <c r="D163">
        <v>14</v>
      </c>
      <c r="E163" s="20">
        <v>44762</v>
      </c>
      <c r="F163">
        <v>9</v>
      </c>
      <c r="G163">
        <v>66</v>
      </c>
      <c r="H163">
        <v>25</v>
      </c>
      <c r="I163">
        <v>3.4</v>
      </c>
      <c r="J163">
        <v>54</v>
      </c>
      <c r="K163">
        <v>52</v>
      </c>
      <c r="L163">
        <v>12</v>
      </c>
      <c r="M163" t="s">
        <v>27</v>
      </c>
      <c r="N163">
        <v>19</v>
      </c>
      <c r="O163" t="s">
        <v>31</v>
      </c>
      <c r="P163">
        <v>13</v>
      </c>
      <c r="Q163" t="s">
        <v>25</v>
      </c>
      <c r="R163">
        <v>12</v>
      </c>
      <c r="S163">
        <v>2022</v>
      </c>
      <c r="T163" t="s">
        <v>53</v>
      </c>
    </row>
    <row r="164" spans="1:20" x14ac:dyDescent="0.3">
      <c r="A164" t="s">
        <v>18</v>
      </c>
      <c r="B164">
        <v>91</v>
      </c>
      <c r="C164" t="s">
        <v>19</v>
      </c>
      <c r="D164">
        <v>52</v>
      </c>
      <c r="E164" s="20">
        <v>44570</v>
      </c>
      <c r="F164">
        <v>53</v>
      </c>
      <c r="G164">
        <v>54.88</v>
      </c>
      <c r="H164">
        <v>77</v>
      </c>
      <c r="I164">
        <v>4.3</v>
      </c>
      <c r="J164">
        <v>61.5</v>
      </c>
      <c r="K164">
        <v>69</v>
      </c>
      <c r="L164">
        <v>17.100000000000001</v>
      </c>
      <c r="M164" t="s">
        <v>20</v>
      </c>
      <c r="N164">
        <v>6.2</v>
      </c>
      <c r="O164" t="s">
        <v>21</v>
      </c>
      <c r="P164">
        <v>17.399999999999999</v>
      </c>
      <c r="Q164" t="s">
        <v>22</v>
      </c>
      <c r="R164">
        <v>22.2</v>
      </c>
      <c r="S164">
        <v>2022</v>
      </c>
      <c r="T164" t="s">
        <v>47</v>
      </c>
    </row>
    <row r="165" spans="1:20" x14ac:dyDescent="0.3">
      <c r="A165" t="s">
        <v>18</v>
      </c>
      <c r="B165">
        <v>91</v>
      </c>
      <c r="C165" t="s">
        <v>23</v>
      </c>
      <c r="D165">
        <v>125</v>
      </c>
      <c r="E165" s="20">
        <v>44571</v>
      </c>
      <c r="F165">
        <v>30</v>
      </c>
      <c r="G165">
        <v>56.3</v>
      </c>
      <c r="H165">
        <v>73</v>
      </c>
      <c r="I165">
        <v>3.7</v>
      </c>
      <c r="J165">
        <v>59.2</v>
      </c>
      <c r="K165">
        <v>56</v>
      </c>
      <c r="L165">
        <v>16</v>
      </c>
      <c r="M165" t="s">
        <v>20</v>
      </c>
      <c r="N165">
        <v>6</v>
      </c>
      <c r="O165" t="s">
        <v>21</v>
      </c>
      <c r="P165">
        <v>16.8</v>
      </c>
      <c r="Q165" t="s">
        <v>22</v>
      </c>
      <c r="R165">
        <v>21.5</v>
      </c>
      <c r="S165">
        <v>2022</v>
      </c>
      <c r="T165" t="s">
        <v>47</v>
      </c>
    </row>
    <row r="166" spans="1:20" x14ac:dyDescent="0.3">
      <c r="A166" t="s">
        <v>18</v>
      </c>
      <c r="B166">
        <v>91</v>
      </c>
      <c r="C166" t="s">
        <v>19</v>
      </c>
      <c r="D166">
        <v>45</v>
      </c>
      <c r="E166" s="20">
        <v>44582</v>
      </c>
      <c r="F166">
        <v>50</v>
      </c>
      <c r="G166">
        <v>54.88</v>
      </c>
      <c r="H166">
        <v>77</v>
      </c>
      <c r="I166">
        <v>4.2</v>
      </c>
      <c r="J166">
        <v>61.5</v>
      </c>
      <c r="K166">
        <v>68</v>
      </c>
      <c r="L166">
        <v>17.100000000000001</v>
      </c>
      <c r="M166" t="s">
        <v>20</v>
      </c>
      <c r="N166">
        <v>6.2</v>
      </c>
      <c r="O166" t="s">
        <v>21</v>
      </c>
      <c r="P166">
        <v>17.399999999999999</v>
      </c>
      <c r="Q166" t="s">
        <v>22</v>
      </c>
      <c r="R166">
        <v>22.2</v>
      </c>
      <c r="S166">
        <v>2022</v>
      </c>
      <c r="T166" t="s">
        <v>47</v>
      </c>
    </row>
    <row r="167" spans="1:20" x14ac:dyDescent="0.3">
      <c r="A167" t="s">
        <v>18</v>
      </c>
      <c r="B167">
        <v>91</v>
      </c>
      <c r="C167" t="s">
        <v>23</v>
      </c>
      <c r="D167">
        <v>28</v>
      </c>
      <c r="E167" s="20">
        <v>44583</v>
      </c>
      <c r="F167">
        <v>33</v>
      </c>
      <c r="G167">
        <v>56.3</v>
      </c>
      <c r="H167">
        <v>73</v>
      </c>
      <c r="I167">
        <v>3.7</v>
      </c>
      <c r="J167">
        <v>59.2</v>
      </c>
      <c r="K167">
        <v>57</v>
      </c>
      <c r="L167">
        <v>16</v>
      </c>
      <c r="M167" t="s">
        <v>20</v>
      </c>
      <c r="N167">
        <v>6</v>
      </c>
      <c r="O167" t="s">
        <v>21</v>
      </c>
      <c r="P167">
        <v>16.8</v>
      </c>
      <c r="Q167" t="s">
        <v>22</v>
      </c>
      <c r="R167">
        <v>21.5</v>
      </c>
      <c r="S167">
        <v>2022</v>
      </c>
      <c r="T167" t="s">
        <v>47</v>
      </c>
    </row>
    <row r="168" spans="1:20" x14ac:dyDescent="0.3">
      <c r="A168" t="s">
        <v>18</v>
      </c>
      <c r="B168">
        <v>91</v>
      </c>
      <c r="C168" t="s">
        <v>19</v>
      </c>
      <c r="D168">
        <v>25</v>
      </c>
      <c r="E168" s="20">
        <v>44594</v>
      </c>
      <c r="F168">
        <v>47</v>
      </c>
      <c r="G168">
        <v>54.88</v>
      </c>
      <c r="H168">
        <v>77</v>
      </c>
      <c r="I168">
        <v>4.4000000000000004</v>
      </c>
      <c r="J168">
        <v>61.5</v>
      </c>
      <c r="K168">
        <v>66</v>
      </c>
      <c r="L168">
        <v>17.100000000000001</v>
      </c>
      <c r="M168" t="s">
        <v>20</v>
      </c>
      <c r="N168">
        <v>6.2</v>
      </c>
      <c r="O168" t="s">
        <v>21</v>
      </c>
      <c r="P168">
        <v>17.399999999999999</v>
      </c>
      <c r="Q168" t="s">
        <v>22</v>
      </c>
      <c r="R168">
        <v>22.2</v>
      </c>
      <c r="S168">
        <v>2022</v>
      </c>
      <c r="T168" t="s">
        <v>48</v>
      </c>
    </row>
    <row r="169" spans="1:20" x14ac:dyDescent="0.3">
      <c r="A169" t="s">
        <v>18</v>
      </c>
      <c r="B169">
        <v>91</v>
      </c>
      <c r="C169" t="s">
        <v>23</v>
      </c>
      <c r="D169">
        <v>300</v>
      </c>
      <c r="E169" s="20">
        <v>44595</v>
      </c>
      <c r="F169">
        <v>35</v>
      </c>
      <c r="G169">
        <v>56.3</v>
      </c>
      <c r="H169">
        <v>73</v>
      </c>
      <c r="I169">
        <v>3.9</v>
      </c>
      <c r="J169">
        <v>59.2</v>
      </c>
      <c r="K169">
        <v>56</v>
      </c>
      <c r="L169">
        <v>16</v>
      </c>
      <c r="M169" t="s">
        <v>20</v>
      </c>
      <c r="N169">
        <v>6</v>
      </c>
      <c r="O169" t="s">
        <v>21</v>
      </c>
      <c r="P169">
        <v>16.8</v>
      </c>
      <c r="Q169" t="s">
        <v>22</v>
      </c>
      <c r="R169">
        <v>21.5</v>
      </c>
      <c r="S169">
        <v>2022</v>
      </c>
      <c r="T169" t="s">
        <v>48</v>
      </c>
    </row>
    <row r="170" spans="1:20" x14ac:dyDescent="0.3">
      <c r="A170" t="s">
        <v>18</v>
      </c>
      <c r="B170">
        <v>91</v>
      </c>
      <c r="C170" t="s">
        <v>19</v>
      </c>
      <c r="D170">
        <v>40</v>
      </c>
      <c r="E170" s="20">
        <v>44606</v>
      </c>
      <c r="F170">
        <v>47</v>
      </c>
      <c r="G170">
        <v>54.88</v>
      </c>
      <c r="H170">
        <v>77</v>
      </c>
      <c r="I170">
        <v>4.4000000000000004</v>
      </c>
      <c r="J170">
        <v>61.5</v>
      </c>
      <c r="K170">
        <v>66</v>
      </c>
      <c r="L170">
        <v>17.100000000000001</v>
      </c>
      <c r="M170" t="s">
        <v>20</v>
      </c>
      <c r="N170">
        <v>6.2</v>
      </c>
      <c r="O170" t="s">
        <v>21</v>
      </c>
      <c r="P170">
        <v>17.399999999999999</v>
      </c>
      <c r="Q170" t="s">
        <v>22</v>
      </c>
      <c r="R170">
        <v>22.2</v>
      </c>
      <c r="S170">
        <v>2022</v>
      </c>
      <c r="T170" t="s">
        <v>48</v>
      </c>
    </row>
    <row r="171" spans="1:20" x14ac:dyDescent="0.3">
      <c r="A171" t="s">
        <v>18</v>
      </c>
      <c r="B171">
        <v>91</v>
      </c>
      <c r="C171" t="s">
        <v>23</v>
      </c>
      <c r="D171">
        <v>30</v>
      </c>
      <c r="E171" s="20">
        <v>44607</v>
      </c>
      <c r="F171">
        <v>35</v>
      </c>
      <c r="G171">
        <v>56.3</v>
      </c>
      <c r="H171">
        <v>73</v>
      </c>
      <c r="I171">
        <v>3.9</v>
      </c>
      <c r="J171">
        <v>59.2</v>
      </c>
      <c r="K171">
        <v>56</v>
      </c>
      <c r="L171">
        <v>16</v>
      </c>
      <c r="M171" t="s">
        <v>20</v>
      </c>
      <c r="N171">
        <v>6</v>
      </c>
      <c r="O171" t="s">
        <v>21</v>
      </c>
      <c r="P171">
        <v>16.8</v>
      </c>
      <c r="Q171" t="s">
        <v>22</v>
      </c>
      <c r="R171">
        <v>21.5</v>
      </c>
      <c r="S171">
        <v>2022</v>
      </c>
      <c r="T171" t="s">
        <v>48</v>
      </c>
    </row>
    <row r="172" spans="1:20" x14ac:dyDescent="0.3">
      <c r="A172" t="s">
        <v>18</v>
      </c>
      <c r="B172">
        <v>91</v>
      </c>
      <c r="C172" t="s">
        <v>19</v>
      </c>
      <c r="D172">
        <v>40</v>
      </c>
      <c r="E172" s="20">
        <v>44618</v>
      </c>
      <c r="F172">
        <v>47</v>
      </c>
      <c r="G172">
        <v>54.88</v>
      </c>
      <c r="H172">
        <v>77</v>
      </c>
      <c r="I172">
        <v>4.4000000000000004</v>
      </c>
      <c r="J172">
        <v>1.5</v>
      </c>
      <c r="K172">
        <v>66</v>
      </c>
      <c r="L172">
        <v>17.100000000000001</v>
      </c>
      <c r="M172" t="s">
        <v>20</v>
      </c>
      <c r="N172">
        <v>6.2</v>
      </c>
      <c r="O172" t="s">
        <v>21</v>
      </c>
      <c r="P172">
        <v>17.399999999999999</v>
      </c>
      <c r="Q172" t="s">
        <v>22</v>
      </c>
      <c r="R172">
        <v>22.2</v>
      </c>
      <c r="S172">
        <v>2022</v>
      </c>
      <c r="T172" t="s">
        <v>48</v>
      </c>
    </row>
    <row r="173" spans="1:20" x14ac:dyDescent="0.3">
      <c r="A173" t="s">
        <v>18</v>
      </c>
      <c r="B173">
        <v>91</v>
      </c>
      <c r="C173" t="s">
        <v>23</v>
      </c>
      <c r="D173">
        <v>30</v>
      </c>
      <c r="E173" s="20">
        <v>44619</v>
      </c>
      <c r="F173">
        <v>35</v>
      </c>
      <c r="G173">
        <v>56.3</v>
      </c>
      <c r="H173">
        <v>73</v>
      </c>
      <c r="I173">
        <v>3.9</v>
      </c>
      <c r="J173">
        <v>59.2</v>
      </c>
      <c r="K173">
        <v>56</v>
      </c>
      <c r="L173">
        <v>16</v>
      </c>
      <c r="M173" t="s">
        <v>20</v>
      </c>
      <c r="N173">
        <v>6</v>
      </c>
      <c r="O173" t="s">
        <v>21</v>
      </c>
      <c r="P173">
        <v>16.8</v>
      </c>
      <c r="Q173" t="s">
        <v>22</v>
      </c>
      <c r="R173">
        <v>21.5</v>
      </c>
      <c r="S173">
        <v>2022</v>
      </c>
      <c r="T173" t="s">
        <v>48</v>
      </c>
    </row>
    <row r="174" spans="1:20" x14ac:dyDescent="0.3">
      <c r="A174" t="s">
        <v>18</v>
      </c>
      <c r="B174">
        <v>91</v>
      </c>
      <c r="C174" t="s">
        <v>19</v>
      </c>
      <c r="D174">
        <v>56</v>
      </c>
      <c r="E174" s="20">
        <v>44630</v>
      </c>
      <c r="F174">
        <v>55</v>
      </c>
      <c r="G174">
        <v>54.88</v>
      </c>
      <c r="H174">
        <v>77</v>
      </c>
      <c r="I174">
        <v>4.3</v>
      </c>
      <c r="J174">
        <v>1.5</v>
      </c>
      <c r="K174">
        <v>71</v>
      </c>
      <c r="L174">
        <v>17.100000000000001</v>
      </c>
      <c r="M174" t="s">
        <v>20</v>
      </c>
      <c r="N174">
        <v>6.2</v>
      </c>
      <c r="O174" t="s">
        <v>21</v>
      </c>
      <c r="P174">
        <v>17.399999999999999</v>
      </c>
      <c r="Q174" t="s">
        <v>22</v>
      </c>
      <c r="R174">
        <v>22.2</v>
      </c>
      <c r="S174">
        <v>2022</v>
      </c>
      <c r="T174" t="s">
        <v>49</v>
      </c>
    </row>
    <row r="175" spans="1:20" x14ac:dyDescent="0.3">
      <c r="A175" t="s">
        <v>18</v>
      </c>
      <c r="B175">
        <v>91</v>
      </c>
      <c r="C175" t="s">
        <v>23</v>
      </c>
      <c r="D175">
        <v>24</v>
      </c>
      <c r="E175" s="20">
        <v>44631</v>
      </c>
      <c r="F175">
        <v>28</v>
      </c>
      <c r="G175">
        <v>56.3</v>
      </c>
      <c r="H175">
        <v>73</v>
      </c>
      <c r="I175">
        <v>3.5</v>
      </c>
      <c r="J175">
        <v>5</v>
      </c>
      <c r="K175">
        <v>55</v>
      </c>
      <c r="L175">
        <v>16</v>
      </c>
      <c r="M175" t="s">
        <v>20</v>
      </c>
      <c r="N175">
        <v>6</v>
      </c>
      <c r="O175" t="s">
        <v>21</v>
      </c>
      <c r="P175">
        <v>16.8</v>
      </c>
      <c r="Q175" t="s">
        <v>22</v>
      </c>
      <c r="R175">
        <v>21.5</v>
      </c>
      <c r="S175">
        <v>2022</v>
      </c>
      <c r="T175" t="s">
        <v>49</v>
      </c>
    </row>
    <row r="176" spans="1:20" x14ac:dyDescent="0.3">
      <c r="A176" t="s">
        <v>18</v>
      </c>
      <c r="B176">
        <v>91</v>
      </c>
      <c r="C176" t="s">
        <v>19</v>
      </c>
      <c r="D176">
        <v>156</v>
      </c>
      <c r="E176" s="20">
        <v>44642</v>
      </c>
      <c r="F176">
        <v>55</v>
      </c>
      <c r="G176">
        <v>54.88</v>
      </c>
      <c r="H176">
        <v>77</v>
      </c>
      <c r="I176">
        <v>4.3</v>
      </c>
      <c r="J176">
        <v>61.5</v>
      </c>
      <c r="K176">
        <v>71</v>
      </c>
      <c r="L176">
        <v>17.100000000000001</v>
      </c>
      <c r="M176" t="s">
        <v>20</v>
      </c>
      <c r="N176">
        <v>6.2</v>
      </c>
      <c r="O176" t="s">
        <v>21</v>
      </c>
      <c r="P176">
        <v>17.399999999999999</v>
      </c>
      <c r="Q176" t="s">
        <v>22</v>
      </c>
      <c r="R176">
        <v>22.2</v>
      </c>
      <c r="S176">
        <v>2022</v>
      </c>
      <c r="T176" t="s">
        <v>49</v>
      </c>
    </row>
    <row r="177" spans="1:20" x14ac:dyDescent="0.3">
      <c r="A177" t="s">
        <v>18</v>
      </c>
      <c r="B177">
        <v>91</v>
      </c>
      <c r="C177" t="s">
        <v>23</v>
      </c>
      <c r="D177">
        <v>24</v>
      </c>
      <c r="E177" s="20">
        <v>44643</v>
      </c>
      <c r="F177">
        <v>28</v>
      </c>
      <c r="G177">
        <v>56.3</v>
      </c>
      <c r="H177">
        <v>73</v>
      </c>
      <c r="I177">
        <v>3.5</v>
      </c>
      <c r="J177">
        <v>59.2</v>
      </c>
      <c r="K177">
        <v>55</v>
      </c>
      <c r="L177">
        <v>16</v>
      </c>
      <c r="M177" t="s">
        <v>20</v>
      </c>
      <c r="N177">
        <v>6</v>
      </c>
      <c r="O177" t="s">
        <v>21</v>
      </c>
      <c r="P177">
        <v>16.8</v>
      </c>
      <c r="Q177" t="s">
        <v>22</v>
      </c>
      <c r="R177">
        <v>21.5</v>
      </c>
      <c r="S177">
        <v>2022</v>
      </c>
      <c r="T177" t="s">
        <v>49</v>
      </c>
    </row>
    <row r="178" spans="1:20" x14ac:dyDescent="0.3">
      <c r="A178" t="s">
        <v>18</v>
      </c>
      <c r="B178">
        <v>91</v>
      </c>
      <c r="C178" t="s">
        <v>19</v>
      </c>
      <c r="D178">
        <v>58</v>
      </c>
      <c r="E178" s="20">
        <v>44654</v>
      </c>
      <c r="F178">
        <v>54</v>
      </c>
      <c r="G178">
        <v>55.5</v>
      </c>
      <c r="H178">
        <v>77</v>
      </c>
      <c r="I178">
        <v>4.0999999999999996</v>
      </c>
      <c r="J178">
        <v>60</v>
      </c>
      <c r="K178">
        <v>72</v>
      </c>
      <c r="L178">
        <v>17.3</v>
      </c>
      <c r="M178" t="s">
        <v>20</v>
      </c>
      <c r="N178">
        <v>6.5</v>
      </c>
      <c r="O178" t="s">
        <v>21</v>
      </c>
      <c r="P178">
        <v>18.2</v>
      </c>
      <c r="Q178" t="s">
        <v>22</v>
      </c>
      <c r="R178">
        <v>23</v>
      </c>
      <c r="S178">
        <v>2022</v>
      </c>
      <c r="T178" t="s">
        <v>50</v>
      </c>
    </row>
    <row r="179" spans="1:20" x14ac:dyDescent="0.3">
      <c r="A179" t="s">
        <v>18</v>
      </c>
      <c r="B179">
        <v>91</v>
      </c>
      <c r="C179" t="s">
        <v>23</v>
      </c>
      <c r="D179">
        <v>22</v>
      </c>
      <c r="E179" s="20">
        <v>44655</v>
      </c>
      <c r="F179">
        <v>26</v>
      </c>
      <c r="G179">
        <v>58</v>
      </c>
      <c r="H179">
        <v>70</v>
      </c>
      <c r="I179">
        <v>3.8</v>
      </c>
      <c r="J179">
        <v>58</v>
      </c>
      <c r="K179">
        <v>54</v>
      </c>
      <c r="L179">
        <v>15.5</v>
      </c>
      <c r="M179" t="s">
        <v>20</v>
      </c>
      <c r="N179">
        <v>5.8</v>
      </c>
      <c r="O179" t="s">
        <v>21</v>
      </c>
      <c r="P179">
        <v>15</v>
      </c>
      <c r="Q179" t="s">
        <v>22</v>
      </c>
      <c r="R179">
        <v>20</v>
      </c>
      <c r="S179">
        <v>2022</v>
      </c>
      <c r="T179" t="s">
        <v>50</v>
      </c>
    </row>
    <row r="180" spans="1:20" x14ac:dyDescent="0.3">
      <c r="A180" t="s">
        <v>18</v>
      </c>
      <c r="B180">
        <v>91</v>
      </c>
      <c r="C180" t="s">
        <v>19</v>
      </c>
      <c r="D180">
        <v>54</v>
      </c>
      <c r="E180" s="20">
        <v>44666</v>
      </c>
      <c r="F180">
        <v>52</v>
      </c>
      <c r="G180">
        <v>54</v>
      </c>
      <c r="H180">
        <v>77</v>
      </c>
      <c r="I180">
        <v>4.4000000000000004</v>
      </c>
      <c r="J180">
        <v>59</v>
      </c>
      <c r="K180">
        <v>73</v>
      </c>
      <c r="L180">
        <v>16</v>
      </c>
      <c r="M180" t="s">
        <v>20</v>
      </c>
      <c r="N180">
        <v>7</v>
      </c>
      <c r="O180" t="s">
        <v>21</v>
      </c>
      <c r="P180">
        <v>15</v>
      </c>
      <c r="Q180" t="s">
        <v>22</v>
      </c>
      <c r="R180">
        <v>22</v>
      </c>
      <c r="S180">
        <v>2022</v>
      </c>
      <c r="T180" t="s">
        <v>50</v>
      </c>
    </row>
    <row r="181" spans="1:20" x14ac:dyDescent="0.3">
      <c r="A181" t="s">
        <v>18</v>
      </c>
      <c r="B181">
        <v>91</v>
      </c>
      <c r="C181" t="s">
        <v>23</v>
      </c>
      <c r="D181">
        <v>2</v>
      </c>
      <c r="E181" s="20">
        <v>44667</v>
      </c>
      <c r="F181">
        <v>27</v>
      </c>
      <c r="G181">
        <v>56</v>
      </c>
      <c r="H181">
        <v>70</v>
      </c>
      <c r="I181">
        <v>3.8</v>
      </c>
      <c r="J181">
        <v>58</v>
      </c>
      <c r="K181">
        <v>58</v>
      </c>
      <c r="L181">
        <v>14</v>
      </c>
      <c r="M181" t="s">
        <v>20</v>
      </c>
      <c r="N181">
        <v>6</v>
      </c>
      <c r="O181" t="s">
        <v>21</v>
      </c>
      <c r="P181">
        <v>14</v>
      </c>
      <c r="Q181" t="s">
        <v>22</v>
      </c>
      <c r="R181">
        <v>21</v>
      </c>
      <c r="S181">
        <v>2022</v>
      </c>
      <c r="T181" t="s">
        <v>50</v>
      </c>
    </row>
    <row r="182" spans="1:20" x14ac:dyDescent="0.3">
      <c r="A182" t="s">
        <v>18</v>
      </c>
      <c r="B182">
        <v>91</v>
      </c>
      <c r="C182" t="s">
        <v>19</v>
      </c>
      <c r="D182">
        <v>56</v>
      </c>
      <c r="E182" s="20">
        <v>44672</v>
      </c>
      <c r="F182">
        <v>55</v>
      </c>
      <c r="G182">
        <v>54.88</v>
      </c>
      <c r="H182">
        <v>77</v>
      </c>
      <c r="I182">
        <v>4.3</v>
      </c>
      <c r="J182">
        <v>1.5</v>
      </c>
      <c r="K182">
        <v>71</v>
      </c>
      <c r="L182">
        <v>17.100000000000001</v>
      </c>
      <c r="M182" t="s">
        <v>20</v>
      </c>
      <c r="N182">
        <v>6.2</v>
      </c>
      <c r="O182" t="s">
        <v>21</v>
      </c>
      <c r="P182">
        <v>17.399999999999999</v>
      </c>
      <c r="Q182" t="s">
        <v>22</v>
      </c>
      <c r="R182">
        <v>22.2</v>
      </c>
      <c r="S182">
        <v>2022</v>
      </c>
      <c r="T182" t="s">
        <v>50</v>
      </c>
    </row>
    <row r="183" spans="1:20" x14ac:dyDescent="0.3">
      <c r="A183" t="s">
        <v>18</v>
      </c>
      <c r="B183">
        <v>91</v>
      </c>
      <c r="C183" t="s">
        <v>23</v>
      </c>
      <c r="D183">
        <v>24</v>
      </c>
      <c r="E183" s="20">
        <v>44673</v>
      </c>
      <c r="F183">
        <v>28</v>
      </c>
      <c r="G183">
        <v>56.3</v>
      </c>
      <c r="H183">
        <v>73</v>
      </c>
      <c r="I183">
        <v>3.5</v>
      </c>
      <c r="J183">
        <v>59.2</v>
      </c>
      <c r="K183">
        <v>55</v>
      </c>
      <c r="L183">
        <v>16</v>
      </c>
      <c r="M183" t="s">
        <v>20</v>
      </c>
      <c r="N183">
        <v>6</v>
      </c>
      <c r="O183" t="s">
        <v>21</v>
      </c>
      <c r="P183">
        <v>16.8</v>
      </c>
      <c r="Q183" t="s">
        <v>22</v>
      </c>
      <c r="R183">
        <v>21.5</v>
      </c>
      <c r="S183">
        <v>2022</v>
      </c>
      <c r="T183" t="s">
        <v>50</v>
      </c>
    </row>
    <row r="184" spans="1:20" x14ac:dyDescent="0.3">
      <c r="A184" t="s">
        <v>18</v>
      </c>
      <c r="B184">
        <v>91</v>
      </c>
      <c r="C184" t="s">
        <v>35</v>
      </c>
      <c r="D184">
        <v>8</v>
      </c>
      <c r="E184" s="20">
        <v>44674</v>
      </c>
      <c r="F184">
        <v>20</v>
      </c>
      <c r="G184">
        <v>58</v>
      </c>
      <c r="H184">
        <v>65</v>
      </c>
      <c r="I184">
        <v>3.9</v>
      </c>
      <c r="J184">
        <v>57.5</v>
      </c>
      <c r="K184">
        <v>49</v>
      </c>
      <c r="L184">
        <v>15.5</v>
      </c>
      <c r="M184" t="s">
        <v>20</v>
      </c>
      <c r="N184">
        <v>5.5</v>
      </c>
      <c r="O184" t="s">
        <v>21</v>
      </c>
      <c r="P184">
        <v>15.2</v>
      </c>
      <c r="Q184" t="s">
        <v>34</v>
      </c>
      <c r="R184">
        <v>20</v>
      </c>
      <c r="S184">
        <v>2022</v>
      </c>
      <c r="T184" t="s">
        <v>50</v>
      </c>
    </row>
    <row r="185" spans="1:20" x14ac:dyDescent="0.3">
      <c r="A185" t="s">
        <v>18</v>
      </c>
      <c r="B185">
        <v>91</v>
      </c>
      <c r="C185" t="s">
        <v>19</v>
      </c>
      <c r="D185">
        <v>58</v>
      </c>
      <c r="E185" s="20">
        <v>44690</v>
      </c>
      <c r="F185">
        <v>54</v>
      </c>
      <c r="G185">
        <v>55.5</v>
      </c>
      <c r="H185">
        <v>77</v>
      </c>
      <c r="I185">
        <v>4.0999999999999996</v>
      </c>
      <c r="J185">
        <v>0</v>
      </c>
      <c r="K185">
        <v>72</v>
      </c>
      <c r="L185">
        <v>17.3</v>
      </c>
      <c r="M185" t="s">
        <v>20</v>
      </c>
      <c r="N185">
        <v>6.5</v>
      </c>
      <c r="O185" t="s">
        <v>21</v>
      </c>
      <c r="P185">
        <v>18.2</v>
      </c>
      <c r="Q185" t="s">
        <v>22</v>
      </c>
      <c r="R185">
        <v>23</v>
      </c>
      <c r="S185">
        <v>2022</v>
      </c>
      <c r="T185" t="s">
        <v>51</v>
      </c>
    </row>
    <row r="186" spans="1:20" x14ac:dyDescent="0.3">
      <c r="A186" t="s">
        <v>18</v>
      </c>
      <c r="B186">
        <v>91</v>
      </c>
      <c r="C186" t="s">
        <v>23</v>
      </c>
      <c r="D186">
        <v>122</v>
      </c>
      <c r="E186" s="20">
        <v>44691</v>
      </c>
      <c r="F186">
        <v>26</v>
      </c>
      <c r="G186">
        <v>58</v>
      </c>
      <c r="H186">
        <v>70</v>
      </c>
      <c r="I186">
        <v>3.8</v>
      </c>
      <c r="J186">
        <v>58</v>
      </c>
      <c r="K186">
        <v>54</v>
      </c>
      <c r="L186">
        <v>15.5</v>
      </c>
      <c r="M186" t="s">
        <v>20</v>
      </c>
      <c r="N186">
        <v>5.8</v>
      </c>
      <c r="O186" t="s">
        <v>21</v>
      </c>
      <c r="P186">
        <v>15</v>
      </c>
      <c r="Q186" t="s">
        <v>22</v>
      </c>
      <c r="R186">
        <v>20</v>
      </c>
      <c r="S186">
        <v>2022</v>
      </c>
      <c r="T186" t="s">
        <v>51</v>
      </c>
    </row>
    <row r="187" spans="1:20" x14ac:dyDescent="0.3">
      <c r="A187" t="s">
        <v>18</v>
      </c>
      <c r="B187">
        <v>91</v>
      </c>
      <c r="C187" t="s">
        <v>19</v>
      </c>
      <c r="D187">
        <v>54</v>
      </c>
      <c r="E187" s="20">
        <v>44707</v>
      </c>
      <c r="F187">
        <v>52</v>
      </c>
      <c r="G187">
        <v>54</v>
      </c>
      <c r="H187">
        <v>77</v>
      </c>
      <c r="I187">
        <v>4.4000000000000004</v>
      </c>
      <c r="J187">
        <v>59</v>
      </c>
      <c r="K187">
        <v>73</v>
      </c>
      <c r="L187">
        <v>16</v>
      </c>
      <c r="M187" t="s">
        <v>20</v>
      </c>
      <c r="N187">
        <v>7</v>
      </c>
      <c r="O187" t="s">
        <v>21</v>
      </c>
      <c r="P187">
        <v>15</v>
      </c>
      <c r="Q187" t="s">
        <v>22</v>
      </c>
      <c r="R187">
        <v>22</v>
      </c>
      <c r="S187">
        <v>2022</v>
      </c>
      <c r="T187" t="s">
        <v>51</v>
      </c>
    </row>
    <row r="188" spans="1:20" x14ac:dyDescent="0.3">
      <c r="A188" t="s">
        <v>18</v>
      </c>
      <c r="B188">
        <v>91</v>
      </c>
      <c r="C188" t="s">
        <v>23</v>
      </c>
      <c r="D188">
        <v>2</v>
      </c>
      <c r="E188" s="20">
        <v>44708</v>
      </c>
      <c r="F188">
        <v>27</v>
      </c>
      <c r="G188">
        <v>56</v>
      </c>
      <c r="H188">
        <v>70</v>
      </c>
      <c r="I188">
        <v>3.8</v>
      </c>
      <c r="J188">
        <v>58</v>
      </c>
      <c r="K188">
        <v>58</v>
      </c>
      <c r="L188">
        <v>14</v>
      </c>
      <c r="M188" t="s">
        <v>20</v>
      </c>
      <c r="N188">
        <v>6</v>
      </c>
      <c r="O188" t="s">
        <v>21</v>
      </c>
      <c r="P188">
        <v>14</v>
      </c>
      <c r="Q188" t="s">
        <v>22</v>
      </c>
      <c r="R188">
        <v>21</v>
      </c>
      <c r="S188">
        <v>2022</v>
      </c>
      <c r="T188" t="s">
        <v>51</v>
      </c>
    </row>
    <row r="189" spans="1:20" x14ac:dyDescent="0.3">
      <c r="A189" t="s">
        <v>18</v>
      </c>
      <c r="B189">
        <v>91</v>
      </c>
      <c r="C189" t="s">
        <v>35</v>
      </c>
      <c r="D189">
        <v>7</v>
      </c>
      <c r="E189" s="20">
        <v>44709</v>
      </c>
      <c r="F189">
        <v>12</v>
      </c>
      <c r="G189">
        <v>58</v>
      </c>
      <c r="H189">
        <v>65</v>
      </c>
      <c r="I189">
        <v>3.4</v>
      </c>
      <c r="J189">
        <v>56</v>
      </c>
      <c r="K189">
        <v>45</v>
      </c>
      <c r="L189">
        <v>13</v>
      </c>
      <c r="M189" t="s">
        <v>20</v>
      </c>
      <c r="N189">
        <v>5.5</v>
      </c>
      <c r="O189" t="s">
        <v>21</v>
      </c>
      <c r="P189">
        <v>12</v>
      </c>
      <c r="Q189" t="s">
        <v>22</v>
      </c>
      <c r="R189">
        <v>19</v>
      </c>
      <c r="S189">
        <v>2022</v>
      </c>
      <c r="T189" t="s">
        <v>51</v>
      </c>
    </row>
    <row r="190" spans="1:20" x14ac:dyDescent="0.3">
      <c r="A190" t="s">
        <v>18</v>
      </c>
      <c r="B190">
        <v>91</v>
      </c>
      <c r="C190" t="s">
        <v>19</v>
      </c>
      <c r="D190">
        <v>55</v>
      </c>
      <c r="E190" s="20">
        <v>44719</v>
      </c>
      <c r="F190">
        <v>52</v>
      </c>
      <c r="G190">
        <v>54</v>
      </c>
      <c r="H190">
        <v>77</v>
      </c>
      <c r="I190">
        <v>4.4000000000000004</v>
      </c>
      <c r="J190">
        <v>59</v>
      </c>
      <c r="K190">
        <v>73</v>
      </c>
      <c r="L190">
        <v>16</v>
      </c>
      <c r="M190" t="s">
        <v>20</v>
      </c>
      <c r="N190">
        <v>7</v>
      </c>
      <c r="O190" t="s">
        <v>21</v>
      </c>
      <c r="P190">
        <v>15</v>
      </c>
      <c r="Q190" t="s">
        <v>22</v>
      </c>
      <c r="R190">
        <v>22</v>
      </c>
      <c r="S190">
        <v>2022</v>
      </c>
      <c r="T190" t="s">
        <v>52</v>
      </c>
    </row>
    <row r="191" spans="1:20" x14ac:dyDescent="0.3">
      <c r="A191" t="s">
        <v>18</v>
      </c>
      <c r="B191">
        <v>91</v>
      </c>
      <c r="C191" t="s">
        <v>23</v>
      </c>
      <c r="D191">
        <v>84</v>
      </c>
      <c r="E191" s="20">
        <v>44720</v>
      </c>
      <c r="F191">
        <v>27</v>
      </c>
      <c r="G191">
        <v>56</v>
      </c>
      <c r="H191">
        <v>70</v>
      </c>
      <c r="I191">
        <v>3.8</v>
      </c>
      <c r="J191">
        <v>58</v>
      </c>
      <c r="K191">
        <v>58</v>
      </c>
      <c r="L191">
        <v>14</v>
      </c>
      <c r="M191" t="s">
        <v>20</v>
      </c>
      <c r="N191">
        <v>6</v>
      </c>
      <c r="O191" t="s">
        <v>21</v>
      </c>
      <c r="P191">
        <v>14</v>
      </c>
      <c r="Q191" t="s">
        <v>22</v>
      </c>
      <c r="R191">
        <v>21</v>
      </c>
      <c r="S191">
        <v>2022</v>
      </c>
      <c r="T191" t="s">
        <v>52</v>
      </c>
    </row>
    <row r="192" spans="1:20" x14ac:dyDescent="0.3">
      <c r="A192" t="s">
        <v>18</v>
      </c>
      <c r="B192">
        <v>91</v>
      </c>
      <c r="C192" t="s">
        <v>35</v>
      </c>
      <c r="D192">
        <v>88</v>
      </c>
      <c r="E192" s="20">
        <v>44721</v>
      </c>
      <c r="F192">
        <v>12</v>
      </c>
      <c r="G192">
        <v>58</v>
      </c>
      <c r="H192">
        <v>65</v>
      </c>
      <c r="I192">
        <v>3.4</v>
      </c>
      <c r="J192">
        <v>5</v>
      </c>
      <c r="K192">
        <v>45</v>
      </c>
      <c r="L192">
        <v>13</v>
      </c>
      <c r="M192" t="s">
        <v>20</v>
      </c>
      <c r="N192">
        <v>5.5</v>
      </c>
      <c r="O192" t="s">
        <v>21</v>
      </c>
      <c r="P192">
        <v>12</v>
      </c>
      <c r="Q192" t="s">
        <v>22</v>
      </c>
      <c r="R192">
        <v>19</v>
      </c>
      <c r="S192">
        <v>2022</v>
      </c>
      <c r="T192" t="s">
        <v>52</v>
      </c>
    </row>
    <row r="193" spans="1:20" x14ac:dyDescent="0.3">
      <c r="A193" t="s">
        <v>18</v>
      </c>
      <c r="B193">
        <v>91</v>
      </c>
      <c r="C193" t="s">
        <v>19</v>
      </c>
      <c r="D193">
        <v>60</v>
      </c>
      <c r="E193" s="20">
        <v>44728</v>
      </c>
      <c r="F193">
        <v>47</v>
      </c>
      <c r="G193">
        <v>54.88</v>
      </c>
      <c r="H193">
        <v>77</v>
      </c>
      <c r="I193">
        <v>4.4000000000000004</v>
      </c>
      <c r="J193">
        <v>61.5</v>
      </c>
      <c r="K193">
        <v>76</v>
      </c>
      <c r="L193">
        <v>17.100000000000001</v>
      </c>
      <c r="M193" t="s">
        <v>20</v>
      </c>
      <c r="N193">
        <v>6.2</v>
      </c>
      <c r="O193" t="s">
        <v>21</v>
      </c>
      <c r="P193">
        <v>17.399999999999999</v>
      </c>
      <c r="Q193" t="s">
        <v>22</v>
      </c>
      <c r="R193">
        <v>22.2</v>
      </c>
      <c r="S193">
        <v>2022</v>
      </c>
      <c r="T193" t="s">
        <v>52</v>
      </c>
    </row>
    <row r="194" spans="1:20" x14ac:dyDescent="0.3">
      <c r="A194" t="s">
        <v>18</v>
      </c>
      <c r="B194">
        <v>91</v>
      </c>
      <c r="C194" t="s">
        <v>19</v>
      </c>
      <c r="D194">
        <v>157</v>
      </c>
      <c r="E194" s="20">
        <v>44733</v>
      </c>
      <c r="F194">
        <v>52</v>
      </c>
      <c r="G194">
        <v>54</v>
      </c>
      <c r="H194">
        <v>77</v>
      </c>
      <c r="I194">
        <v>4.5999999999999996</v>
      </c>
      <c r="J194">
        <v>58</v>
      </c>
      <c r="K194">
        <v>73</v>
      </c>
      <c r="L194">
        <v>17</v>
      </c>
      <c r="M194" t="s">
        <v>20</v>
      </c>
      <c r="N194">
        <v>8</v>
      </c>
      <c r="O194" t="s">
        <v>21</v>
      </c>
      <c r="P194">
        <v>16</v>
      </c>
      <c r="Q194" t="s">
        <v>22</v>
      </c>
      <c r="R194">
        <v>23</v>
      </c>
      <c r="S194">
        <v>2022</v>
      </c>
      <c r="T194" t="s">
        <v>52</v>
      </c>
    </row>
    <row r="195" spans="1:20" x14ac:dyDescent="0.3">
      <c r="A195" t="s">
        <v>18</v>
      </c>
      <c r="B195">
        <v>91</v>
      </c>
      <c r="C195" t="s">
        <v>19</v>
      </c>
      <c r="D195">
        <v>34</v>
      </c>
      <c r="E195" s="20">
        <v>44745</v>
      </c>
      <c r="F195">
        <v>9</v>
      </c>
      <c r="G195">
        <v>5.5</v>
      </c>
      <c r="H195">
        <v>76</v>
      </c>
      <c r="I195">
        <v>3.5</v>
      </c>
      <c r="J195">
        <v>48</v>
      </c>
      <c r="K195">
        <v>33</v>
      </c>
      <c r="L195">
        <v>6.5</v>
      </c>
      <c r="M195" t="s">
        <v>27</v>
      </c>
      <c r="N195">
        <v>22</v>
      </c>
      <c r="O195" t="s">
        <v>21</v>
      </c>
      <c r="P195">
        <v>15</v>
      </c>
      <c r="Q195" t="s">
        <v>22</v>
      </c>
      <c r="R195">
        <v>12</v>
      </c>
      <c r="S195">
        <v>2022</v>
      </c>
      <c r="T195" t="s">
        <v>53</v>
      </c>
    </row>
    <row r="196" spans="1:20" x14ac:dyDescent="0.3">
      <c r="A196" t="s">
        <v>18</v>
      </c>
      <c r="B196">
        <v>91</v>
      </c>
      <c r="C196" t="s">
        <v>19</v>
      </c>
      <c r="D196">
        <v>57</v>
      </c>
      <c r="E196" s="20">
        <v>44748</v>
      </c>
      <c r="F196">
        <v>53</v>
      </c>
      <c r="G196">
        <v>54</v>
      </c>
      <c r="H196">
        <v>77</v>
      </c>
      <c r="I196">
        <v>4.5999999999999996</v>
      </c>
      <c r="J196">
        <v>58</v>
      </c>
      <c r="K196">
        <v>73</v>
      </c>
      <c r="L196">
        <v>17</v>
      </c>
      <c r="M196" t="s">
        <v>20</v>
      </c>
      <c r="N196">
        <v>8</v>
      </c>
      <c r="O196" t="s">
        <v>21</v>
      </c>
      <c r="P196">
        <v>16</v>
      </c>
      <c r="Q196" t="s">
        <v>22</v>
      </c>
      <c r="R196">
        <v>23</v>
      </c>
      <c r="S196">
        <v>2022</v>
      </c>
      <c r="T196" t="s">
        <v>53</v>
      </c>
    </row>
    <row r="197" spans="1:20" x14ac:dyDescent="0.3">
      <c r="A197" t="s">
        <v>18</v>
      </c>
      <c r="B197">
        <v>91</v>
      </c>
      <c r="C197" t="s">
        <v>23</v>
      </c>
      <c r="D197">
        <v>156</v>
      </c>
      <c r="E197" s="20">
        <v>44749</v>
      </c>
      <c r="F197">
        <v>30</v>
      </c>
      <c r="G197">
        <v>56</v>
      </c>
      <c r="H197">
        <v>72</v>
      </c>
      <c r="I197">
        <v>3.9</v>
      </c>
      <c r="J197">
        <v>57</v>
      </c>
      <c r="K197">
        <v>62</v>
      </c>
      <c r="L197">
        <v>15.5</v>
      </c>
      <c r="M197" t="s">
        <v>20</v>
      </c>
      <c r="N197">
        <v>7.5</v>
      </c>
      <c r="O197" t="s">
        <v>21</v>
      </c>
      <c r="P197">
        <v>15</v>
      </c>
      <c r="Q197" t="s">
        <v>22</v>
      </c>
      <c r="R197">
        <v>21.5</v>
      </c>
      <c r="S197">
        <v>2022</v>
      </c>
      <c r="T197" t="s">
        <v>53</v>
      </c>
    </row>
    <row r="198" spans="1:20" x14ac:dyDescent="0.3">
      <c r="A198" t="s">
        <v>18</v>
      </c>
      <c r="B198">
        <v>91</v>
      </c>
      <c r="C198" t="s">
        <v>35</v>
      </c>
      <c r="D198">
        <v>22</v>
      </c>
      <c r="E198" s="20">
        <v>44750</v>
      </c>
      <c r="F198">
        <v>12</v>
      </c>
      <c r="G198">
        <v>58</v>
      </c>
      <c r="H198">
        <v>67</v>
      </c>
      <c r="I198">
        <v>3.3</v>
      </c>
      <c r="J198">
        <v>15</v>
      </c>
      <c r="K198">
        <v>46</v>
      </c>
      <c r="L198">
        <v>14</v>
      </c>
      <c r="M198" t="s">
        <v>20</v>
      </c>
      <c r="N198">
        <v>6</v>
      </c>
      <c r="O198" t="s">
        <v>21</v>
      </c>
      <c r="P198">
        <v>13.5</v>
      </c>
      <c r="Q198" t="s">
        <v>22</v>
      </c>
      <c r="R198">
        <v>20</v>
      </c>
      <c r="S198">
        <v>2022</v>
      </c>
      <c r="T198" t="s">
        <v>53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E48FD-D22E-4E57-8927-36F84B037507}">
  <sheetPr codeName="Sheet4"/>
  <dimension ref="A2:AC59"/>
  <sheetViews>
    <sheetView showGridLines="0" topLeftCell="L1" zoomScaleNormal="100" workbookViewId="0">
      <pane ySplit="1" topLeftCell="A2" activePane="bottomLeft" state="frozen"/>
      <selection pane="bottomLeft" activeCell="R20" sqref="R20"/>
    </sheetView>
  </sheetViews>
  <sheetFormatPr defaultRowHeight="14.4" x14ac:dyDescent="0.3"/>
  <cols>
    <col min="1" max="1" width="19.5546875" bestFit="1" customWidth="1"/>
    <col min="2" max="2" width="15.6640625" customWidth="1"/>
    <col min="3" max="3" width="24.44140625" bestFit="1" customWidth="1"/>
    <col min="4" max="4" width="6.109375" customWidth="1"/>
    <col min="5" max="5" width="15.6640625" bestFit="1" customWidth="1"/>
    <col min="6" max="6" width="19.88671875" customWidth="1"/>
    <col min="7" max="7" width="8.109375" bestFit="1" customWidth="1"/>
    <col min="9" max="9" width="15.6640625" bestFit="1" customWidth="1"/>
    <col min="10" max="11" width="19.88671875" bestFit="1" customWidth="1"/>
    <col min="12" max="12" width="15.6640625" bestFit="1" customWidth="1"/>
    <col min="13" max="13" width="21.44140625" bestFit="1" customWidth="1"/>
    <col min="14" max="14" width="19.88671875" bestFit="1" customWidth="1"/>
    <col min="15" max="15" width="15.6640625" bestFit="1" customWidth="1"/>
    <col min="16" max="16" width="13.5546875" customWidth="1"/>
    <col min="17" max="17" width="11.6640625" customWidth="1"/>
    <col min="18" max="18" width="15.6640625" bestFit="1" customWidth="1"/>
    <col min="19" max="19" width="11" customWidth="1"/>
    <col min="20" max="20" width="13.5546875" customWidth="1"/>
    <col min="21" max="21" width="15.6640625" bestFit="1" customWidth="1"/>
    <col min="22" max="22" width="30.109375" bestFit="1" customWidth="1"/>
    <col min="23" max="23" width="15.109375" bestFit="1" customWidth="1"/>
    <col min="24" max="24" width="13.109375" customWidth="1"/>
    <col min="25" max="25" width="19.88671875" bestFit="1" customWidth="1"/>
    <col min="27" max="27" width="15.109375" bestFit="1" customWidth="1"/>
    <col min="28" max="28" width="11.33203125" bestFit="1" customWidth="1"/>
  </cols>
  <sheetData>
    <row r="2" spans="1:29" x14ac:dyDescent="0.3">
      <c r="A2" s="39" t="s">
        <v>60</v>
      </c>
      <c r="B2" s="40" t="s">
        <v>61</v>
      </c>
      <c r="F2" s="22" t="s">
        <v>38</v>
      </c>
      <c r="G2" s="22" t="s">
        <v>40</v>
      </c>
      <c r="H2" s="22" t="s">
        <v>41</v>
      </c>
    </row>
    <row r="3" spans="1:29" x14ac:dyDescent="0.3">
      <c r="A3" s="33" t="s">
        <v>66</v>
      </c>
      <c r="B3" s="34">
        <f>GETPIVOTDATA("Sum of Visitor Count",$A$16)</f>
        <v>10632</v>
      </c>
      <c r="F3" s="15" t="s">
        <v>28</v>
      </c>
      <c r="G3" s="15">
        <f>GETPIVOTDATA("SUM OF VISITOR COUNT",$A$16,"TRAFFIC SOURCE TYPE",F3)</f>
        <v>2314</v>
      </c>
      <c r="H3" s="16">
        <f>GETPIVOTDATA("Sum of Visitor Count2",$A$16,"Traffic Source Type",F3)</f>
        <v>0.21764484574868323</v>
      </c>
      <c r="J3" s="22" t="s">
        <v>38</v>
      </c>
      <c r="K3" s="22" t="s">
        <v>40</v>
      </c>
      <c r="L3" s="22" t="s">
        <v>41</v>
      </c>
      <c r="M3" s="22" t="s">
        <v>38</v>
      </c>
      <c r="N3" s="22" t="s">
        <v>40</v>
      </c>
      <c r="P3" s="22" t="s">
        <v>38</v>
      </c>
      <c r="Q3" s="22" t="s">
        <v>54</v>
      </c>
      <c r="S3" s="22" t="s">
        <v>38</v>
      </c>
      <c r="T3" s="22" t="s">
        <v>55</v>
      </c>
      <c r="U3" s="22" t="s">
        <v>59</v>
      </c>
      <c r="V3" s="22" t="s">
        <v>38</v>
      </c>
      <c r="W3" s="22" t="s">
        <v>56</v>
      </c>
      <c r="X3" s="22" t="s">
        <v>59</v>
      </c>
      <c r="Y3" s="22" t="s">
        <v>38</v>
      </c>
      <c r="Z3" s="22" t="s">
        <v>57</v>
      </c>
      <c r="AA3" s="22" t="s">
        <v>59</v>
      </c>
      <c r="AB3" s="30" t="s">
        <v>38</v>
      </c>
      <c r="AC3" s="30" t="s">
        <v>40</v>
      </c>
    </row>
    <row r="4" spans="1:29" x14ac:dyDescent="0.3">
      <c r="A4" s="33" t="s">
        <v>62</v>
      </c>
      <c r="B4" s="36">
        <f>GETPIVOTDATA("Avg. Session Duration (sec)",$A$25)/60</f>
        <v>0.86627906976744184</v>
      </c>
      <c r="F4" s="15" t="s">
        <v>24</v>
      </c>
      <c r="G4" s="15">
        <f t="shared" ref="G4:G8" si="0">GETPIVOTDATA("SUM OF VISITOR COUNT",$A$16,"TRAFFIC SOURCE TYPE",F4)</f>
        <v>2238</v>
      </c>
      <c r="H4" s="16">
        <f t="shared" ref="H4:H8" si="1">GETPIVOTDATA("Sum of Visitor Count2",$A$16,"Traffic Source Type",F4)</f>
        <v>0.21049661399548533</v>
      </c>
      <c r="J4" s="15" t="s">
        <v>35</v>
      </c>
      <c r="K4" s="15">
        <f>GETPIVOTDATA("Sum of Visitor Count",$E$16,"Visitor Type",J4)</f>
        <v>924</v>
      </c>
      <c r="L4" s="16">
        <f>GETPIVOTDATA("Sum of Visitor Count2",$E$16,"Visitor Type",J4)</f>
        <v>8.6907449209932278E-2</v>
      </c>
      <c r="M4" s="15" t="s">
        <v>47</v>
      </c>
      <c r="N4" s="15" t="e">
        <f>GETPIVOTDATA("Visitor Count",$I$16,"Month",M4)</f>
        <v>#REF!</v>
      </c>
      <c r="P4" s="15" t="s">
        <v>47</v>
      </c>
      <c r="Q4" s="18" t="e">
        <f>GETPIVOTDATA("Bounce Rate %",$L$16,"Month",P4)</f>
        <v>#REF!</v>
      </c>
      <c r="S4" s="15" t="s">
        <v>24</v>
      </c>
      <c r="T4" s="18">
        <f>GETPIVOTDATA("Conversion % (Channel)",$O$16,"Channel",S4)</f>
        <v>22.359649122807014</v>
      </c>
      <c r="U4" s="28">
        <f>T4/$T$7</f>
        <v>0.45243341698163864</v>
      </c>
      <c r="V4" s="15" t="str">
        <f>R17</f>
        <v>Campaign 1</v>
      </c>
      <c r="W4" s="17">
        <f>GETPIVOTDATA("Conversion % (Campaign)",$R$16,"Campaign Name",V4)</f>
        <v>18.867999999999999</v>
      </c>
      <c r="X4" s="28">
        <f>W4/$W$8</f>
        <v>0.31909622920790254</v>
      </c>
      <c r="Y4" s="15" t="s">
        <v>22</v>
      </c>
      <c r="Z4" s="17">
        <f>GETPIVOTDATA("Conversion % (Page)",$U$16,"Page Name",Y4)</f>
        <v>16.190000000000001</v>
      </c>
      <c r="AA4" s="28">
        <f>Z4/$Z$7</f>
        <v>0.41507851222802095</v>
      </c>
      <c r="AB4" s="13" t="s">
        <v>28</v>
      </c>
      <c r="AC4" s="19">
        <f>GETPIVOTDATA("Visitor Count",$X$16,"Traffic Source Type",AB4)</f>
        <v>2314</v>
      </c>
    </row>
    <row r="5" spans="1:29" x14ac:dyDescent="0.3">
      <c r="A5" s="33" t="s">
        <v>63</v>
      </c>
      <c r="B5" s="34">
        <f>GETPIVOTDATA("Pages Per Visit",$A$34)</f>
        <v>3.4825581395348806</v>
      </c>
      <c r="F5" s="15" t="s">
        <v>32</v>
      </c>
      <c r="G5" s="15">
        <f t="shared" si="0"/>
        <v>1234</v>
      </c>
      <c r="H5" s="16">
        <f t="shared" si="1"/>
        <v>0.11606471030850263</v>
      </c>
      <c r="J5" s="15" t="s">
        <v>23</v>
      </c>
      <c r="K5" s="15">
        <f t="shared" ref="K5:K6" si="2">GETPIVOTDATA("Sum of Visitor Count",$E$16,"Visitor Type",J5)</f>
        <v>5570</v>
      </c>
      <c r="L5" s="16">
        <f>GETPIVOTDATA("Sum of Visitor Count2",$E$16,"Visitor Type",J5)</f>
        <v>0.5238901429646351</v>
      </c>
      <c r="M5" s="15" t="s">
        <v>48</v>
      </c>
      <c r="N5" s="15">
        <f t="shared" ref="N5:N10" si="3">GETPIVOTDATA("Visitor Count",$I$16,"Month",M5)</f>
        <v>2781</v>
      </c>
      <c r="P5" s="15" t="s">
        <v>48</v>
      </c>
      <c r="Q5" s="18">
        <f t="shared" ref="Q5:Q10" si="4">GETPIVOTDATA("Bounce Rate %",$L$16,"Month",P5)</f>
        <v>1744.17</v>
      </c>
      <c r="S5" s="15" t="s">
        <v>27</v>
      </c>
      <c r="T5" s="18">
        <f t="shared" ref="T5" si="5">GETPIVOTDATA("Conversion % (Channel)",$O$16,"Channel",S5)</f>
        <v>21.426666666666669</v>
      </c>
      <c r="U5" s="28">
        <f>T5/$T$7</f>
        <v>0.43355510461201652</v>
      </c>
      <c r="V5" s="15" t="str">
        <f>R18</f>
        <v>Campaign 3</v>
      </c>
      <c r="W5" s="17">
        <f t="shared" ref="W5:W7" si="6">GETPIVOTDATA("Conversion % (Campaign)",$R$16,"Campaign Name",V5)</f>
        <v>14.539285714285715</v>
      </c>
      <c r="X5" s="28">
        <f>W5/$W$8</f>
        <v>0.2458888725251695</v>
      </c>
      <c r="Y5" s="15" t="s">
        <v>25</v>
      </c>
      <c r="Z5" s="17">
        <f t="shared" ref="Z5:Z6" si="7">GETPIVOTDATA("Conversion % (Page)",$U$16,"Page Name",Y5)</f>
        <v>12.556976744186047</v>
      </c>
      <c r="AA5" s="28">
        <f>Z5/$Z$7</f>
        <v>0.32193522081893772</v>
      </c>
      <c r="AB5" s="13" t="s">
        <v>24</v>
      </c>
      <c r="AC5" s="19">
        <f t="shared" ref="AC5:AC9" si="8">GETPIVOTDATA("Visitor Count",$X$16,"Traffic Source Type",AB5)</f>
        <v>2238</v>
      </c>
    </row>
    <row r="6" spans="1:29" x14ac:dyDescent="0.3">
      <c r="A6" s="33" t="s">
        <v>9</v>
      </c>
      <c r="B6" s="37">
        <f>GETPIVOTDATA("Bounce Rate %",$L$16)/GETPIVOTDATA("Visitor Count",$I$16)</f>
        <v>0.97376881113619251</v>
      </c>
      <c r="F6" s="15" t="s">
        <v>26</v>
      </c>
      <c r="G6" s="15">
        <f t="shared" si="0"/>
        <v>1747</v>
      </c>
      <c r="H6" s="16">
        <f t="shared" si="1"/>
        <v>0.16431527464258841</v>
      </c>
      <c r="J6" s="15" t="s">
        <v>19</v>
      </c>
      <c r="K6" s="15">
        <f t="shared" si="2"/>
        <v>4138</v>
      </c>
      <c r="L6" s="16">
        <f t="shared" ref="L6" si="9">GETPIVOTDATA("Sum of Visitor Count2",$E$16,"Visitor Type",J6)</f>
        <v>0.38920240782543264</v>
      </c>
      <c r="M6" s="15" t="s">
        <v>49</v>
      </c>
      <c r="N6" s="15">
        <f t="shared" si="3"/>
        <v>2041</v>
      </c>
      <c r="P6" s="15" t="s">
        <v>49</v>
      </c>
      <c r="Q6" s="18">
        <f t="shared" si="4"/>
        <v>1893.79</v>
      </c>
      <c r="S6" s="15" t="s">
        <v>20</v>
      </c>
      <c r="T6" s="18">
        <f>GETPIVOTDATA("Conversion % (Channel)",$O$16,"Channel",S6)</f>
        <v>5.6345454545454565</v>
      </c>
      <c r="U6" s="28">
        <f>T6/$T$7</f>
        <v>0.11401147840634493</v>
      </c>
      <c r="V6" s="15" t="str">
        <f>R19</f>
        <v>Campaign 2</v>
      </c>
      <c r="W6" s="17">
        <f t="shared" si="6"/>
        <v>12.97021276595745</v>
      </c>
      <c r="X6" s="28">
        <f>W6/$W$8</f>
        <v>0.21935265982834548</v>
      </c>
      <c r="Y6" s="15" t="s">
        <v>34</v>
      </c>
      <c r="Z6" s="17">
        <f t="shared" si="7"/>
        <v>10.257692307692308</v>
      </c>
      <c r="AA6" s="28">
        <f>Z6/$Z$7</f>
        <v>0.26298626695304123</v>
      </c>
      <c r="AB6" s="13" t="s">
        <v>32</v>
      </c>
      <c r="AC6" s="19">
        <f t="shared" si="8"/>
        <v>1234</v>
      </c>
    </row>
    <row r="7" spans="1:29" x14ac:dyDescent="0.3">
      <c r="A7" s="33" t="s">
        <v>64</v>
      </c>
      <c r="B7" s="34">
        <f>GETPIVOTDATA("Total Page Views",$A$43)</f>
        <v>9351</v>
      </c>
      <c r="F7" s="15" t="s">
        <v>30</v>
      </c>
      <c r="G7" s="15">
        <f t="shared" si="0"/>
        <v>1194</v>
      </c>
      <c r="H7" s="16">
        <f t="shared" si="1"/>
        <v>0.11230248306997742</v>
      </c>
      <c r="J7" s="23" t="s">
        <v>39</v>
      </c>
      <c r="K7" s="23">
        <v>11907</v>
      </c>
      <c r="L7" s="24">
        <f>SUM(L4:L6)</f>
        <v>1</v>
      </c>
      <c r="M7" s="15" t="s">
        <v>50</v>
      </c>
      <c r="N7" s="15">
        <f t="shared" si="3"/>
        <v>1604</v>
      </c>
      <c r="P7" s="15" t="s">
        <v>50</v>
      </c>
      <c r="Q7" s="18">
        <f t="shared" si="4"/>
        <v>1709.53</v>
      </c>
      <c r="S7" s="23" t="s">
        <v>39</v>
      </c>
      <c r="T7" s="25">
        <f>SUM(T4:T6)</f>
        <v>49.420861244019136</v>
      </c>
      <c r="U7" s="27">
        <f>T7/$T$7</f>
        <v>1</v>
      </c>
      <c r="V7" s="15" t="str">
        <f>R20</f>
        <v>Campaign 4</v>
      </c>
      <c r="W7" s="17">
        <f t="shared" si="6"/>
        <v>12.752000000000001</v>
      </c>
      <c r="X7" s="28">
        <f>W7/$W$8</f>
        <v>0.21566223843858245</v>
      </c>
      <c r="Y7" s="23" t="s">
        <v>39</v>
      </c>
      <c r="Z7" s="29">
        <f>SUM(Z4:Z6)</f>
        <v>39.004669051878359</v>
      </c>
      <c r="AA7" s="27">
        <f>Z7/$Z$7</f>
        <v>1</v>
      </c>
      <c r="AB7" s="13" t="s">
        <v>26</v>
      </c>
      <c r="AC7" s="19">
        <f t="shared" si="8"/>
        <v>1747</v>
      </c>
    </row>
    <row r="8" spans="1:29" x14ac:dyDescent="0.3">
      <c r="A8" s="35" t="s">
        <v>65</v>
      </c>
      <c r="B8" s="38">
        <f>GETPIVOTDATA("Goal Conversion Rate %",$A$52)/B3</f>
        <v>0.20946200150489089</v>
      </c>
      <c r="F8" s="15" t="s">
        <v>18</v>
      </c>
      <c r="G8" s="15">
        <f t="shared" si="0"/>
        <v>1905</v>
      </c>
      <c r="H8" s="16">
        <f t="shared" si="1"/>
        <v>0.17917607223476298</v>
      </c>
      <c r="M8" s="15" t="s">
        <v>51</v>
      </c>
      <c r="N8" s="15">
        <f t="shared" si="3"/>
        <v>936</v>
      </c>
      <c r="P8" s="15" t="s">
        <v>51</v>
      </c>
      <c r="Q8" s="18">
        <f t="shared" si="4"/>
        <v>2032.67</v>
      </c>
      <c r="V8" s="23" t="s">
        <v>39</v>
      </c>
      <c r="W8" s="25">
        <f>SUM(W4:W7)</f>
        <v>59.129498480243164</v>
      </c>
      <c r="X8" s="27">
        <f>W8/$W$8</f>
        <v>1</v>
      </c>
      <c r="AB8" s="13" t="s">
        <v>30</v>
      </c>
      <c r="AC8" s="19">
        <f t="shared" si="8"/>
        <v>1194</v>
      </c>
    </row>
    <row r="9" spans="1:29" x14ac:dyDescent="0.3">
      <c r="B9" s="26"/>
      <c r="F9" s="23" t="s">
        <v>39</v>
      </c>
      <c r="G9" s="23">
        <f>SUM(G3:G8)</f>
        <v>10632</v>
      </c>
      <c r="H9" s="24">
        <v>1</v>
      </c>
      <c r="M9" s="15" t="s">
        <v>52</v>
      </c>
      <c r="N9" s="15">
        <f t="shared" si="3"/>
        <v>2099</v>
      </c>
      <c r="P9" s="15" t="s">
        <v>52</v>
      </c>
      <c r="Q9" s="18">
        <f t="shared" si="4"/>
        <v>1764.65</v>
      </c>
      <c r="AB9" s="13" t="s">
        <v>18</v>
      </c>
      <c r="AC9" s="19">
        <f t="shared" si="8"/>
        <v>1905</v>
      </c>
    </row>
    <row r="10" spans="1:29" x14ac:dyDescent="0.3">
      <c r="G10" t="s">
        <v>46</v>
      </c>
      <c r="M10" s="15" t="s">
        <v>53</v>
      </c>
      <c r="N10" s="15">
        <f t="shared" si="3"/>
        <v>1171</v>
      </c>
      <c r="P10" s="15" t="s">
        <v>53</v>
      </c>
      <c r="Q10" s="18">
        <f t="shared" si="4"/>
        <v>1208.3</v>
      </c>
      <c r="AB10" s="31" t="s">
        <v>39</v>
      </c>
      <c r="AC10" s="32">
        <f>SUM(AC4:AC9)</f>
        <v>10632</v>
      </c>
    </row>
    <row r="11" spans="1:29" x14ac:dyDescent="0.3">
      <c r="M11" s="23" t="s">
        <v>39</v>
      </c>
      <c r="N11" s="23" t="e">
        <f>SUM(N4:N10)</f>
        <v>#REF!</v>
      </c>
      <c r="P11" s="23" t="s">
        <v>39</v>
      </c>
      <c r="Q11" s="25" t="e">
        <f>SUM(Q4:Q10)</f>
        <v>#REF!</v>
      </c>
    </row>
    <row r="16" spans="1:29" x14ac:dyDescent="0.3">
      <c r="A16" s="14" t="s">
        <v>38</v>
      </c>
      <c r="B16" s="15" t="s">
        <v>40</v>
      </c>
      <c r="C16" s="15" t="s">
        <v>41</v>
      </c>
      <c r="E16" s="14" t="s">
        <v>38</v>
      </c>
      <c r="F16" s="15" t="s">
        <v>40</v>
      </c>
      <c r="G16" s="15" t="s">
        <v>41</v>
      </c>
      <c r="I16" s="14" t="s">
        <v>38</v>
      </c>
      <c r="J16" s="15" t="s">
        <v>40</v>
      </c>
      <c r="L16" s="14" t="s">
        <v>38</v>
      </c>
      <c r="M16" s="15" t="s">
        <v>54</v>
      </c>
      <c r="O16" s="14" t="s">
        <v>38</v>
      </c>
      <c r="P16" s="15" t="s">
        <v>55</v>
      </c>
      <c r="R16" s="14" t="s">
        <v>38</v>
      </c>
      <c r="S16" s="15" t="s">
        <v>56</v>
      </c>
      <c r="U16" s="14" t="s">
        <v>38</v>
      </c>
      <c r="V16" s="15" t="s">
        <v>57</v>
      </c>
      <c r="X16" s="12" t="s">
        <v>38</v>
      </c>
      <c r="Y16" s="13" t="s">
        <v>40</v>
      </c>
    </row>
    <row r="17" spans="1:25" x14ac:dyDescent="0.3">
      <c r="A17" s="15" t="s">
        <v>28</v>
      </c>
      <c r="B17" s="15">
        <v>2314</v>
      </c>
      <c r="C17" s="16">
        <v>0.21764484574868323</v>
      </c>
      <c r="E17" s="15" t="s">
        <v>35</v>
      </c>
      <c r="F17" s="15">
        <v>924</v>
      </c>
      <c r="G17" s="16">
        <v>8.6907449209932278E-2</v>
      </c>
      <c r="I17" s="15" t="s">
        <v>48</v>
      </c>
      <c r="J17" s="15">
        <v>2781</v>
      </c>
      <c r="L17" s="15" t="s">
        <v>48</v>
      </c>
      <c r="M17" s="18">
        <v>1744.17</v>
      </c>
      <c r="O17" s="15" t="s">
        <v>24</v>
      </c>
      <c r="P17" s="18">
        <v>22.359649122807014</v>
      </c>
      <c r="R17" s="15" t="s">
        <v>29</v>
      </c>
      <c r="S17" s="18">
        <v>18.867999999999999</v>
      </c>
      <c r="U17" s="15" t="s">
        <v>22</v>
      </c>
      <c r="V17" s="18">
        <v>16.190000000000001</v>
      </c>
      <c r="X17" s="13" t="s">
        <v>28</v>
      </c>
      <c r="Y17" s="19">
        <v>2314</v>
      </c>
    </row>
    <row r="18" spans="1:25" x14ac:dyDescent="0.3">
      <c r="A18" s="15" t="s">
        <v>24</v>
      </c>
      <c r="B18" s="15">
        <v>2238</v>
      </c>
      <c r="C18" s="16">
        <v>0.21049661399548533</v>
      </c>
      <c r="E18" s="15" t="s">
        <v>23</v>
      </c>
      <c r="F18" s="15">
        <v>5570</v>
      </c>
      <c r="G18" s="16">
        <v>0.5238901429646351</v>
      </c>
      <c r="I18" s="15" t="s">
        <v>49</v>
      </c>
      <c r="J18" s="15">
        <v>2041</v>
      </c>
      <c r="L18" s="15" t="s">
        <v>49</v>
      </c>
      <c r="M18" s="18">
        <v>1893.79</v>
      </c>
      <c r="O18" s="15" t="s">
        <v>27</v>
      </c>
      <c r="P18" s="18">
        <v>21.426666666666669</v>
      </c>
      <c r="R18" s="15" t="s">
        <v>31</v>
      </c>
      <c r="S18" s="18">
        <v>14.539285714285715</v>
      </c>
      <c r="U18" s="15" t="s">
        <v>25</v>
      </c>
      <c r="V18" s="18">
        <v>12.556976744186047</v>
      </c>
      <c r="X18" s="13" t="s">
        <v>24</v>
      </c>
      <c r="Y18" s="19">
        <v>2238</v>
      </c>
    </row>
    <row r="19" spans="1:25" x14ac:dyDescent="0.3">
      <c r="A19" s="15" t="s">
        <v>32</v>
      </c>
      <c r="B19" s="15">
        <v>1234</v>
      </c>
      <c r="C19" s="16">
        <v>0.11606471030850263</v>
      </c>
      <c r="E19" s="15" t="s">
        <v>19</v>
      </c>
      <c r="F19" s="15">
        <v>4138</v>
      </c>
      <c r="G19" s="16">
        <v>0.38920240782543264</v>
      </c>
      <c r="I19" s="15" t="s">
        <v>50</v>
      </c>
      <c r="J19" s="15">
        <v>1604</v>
      </c>
      <c r="L19" s="15" t="s">
        <v>50</v>
      </c>
      <c r="M19" s="18">
        <v>1709.53</v>
      </c>
      <c r="O19" s="15" t="s">
        <v>20</v>
      </c>
      <c r="P19" s="18">
        <v>5.6345454545454565</v>
      </c>
      <c r="R19" s="15" t="s">
        <v>21</v>
      </c>
      <c r="S19" s="18">
        <v>12.97021276595745</v>
      </c>
      <c r="U19" s="15" t="s">
        <v>34</v>
      </c>
      <c r="V19" s="18">
        <v>10.257692307692308</v>
      </c>
      <c r="X19" s="13" t="s">
        <v>32</v>
      </c>
      <c r="Y19" s="19">
        <v>1234</v>
      </c>
    </row>
    <row r="20" spans="1:25" x14ac:dyDescent="0.3">
      <c r="A20" s="15" t="s">
        <v>26</v>
      </c>
      <c r="B20" s="15">
        <v>1747</v>
      </c>
      <c r="C20" s="16">
        <v>0.16431527464258841</v>
      </c>
      <c r="E20" s="15" t="s">
        <v>39</v>
      </c>
      <c r="F20" s="15">
        <v>10632</v>
      </c>
      <c r="G20" s="16">
        <v>1</v>
      </c>
      <c r="I20" s="15" t="s">
        <v>51</v>
      </c>
      <c r="J20" s="15">
        <v>936</v>
      </c>
      <c r="L20" s="15" t="s">
        <v>51</v>
      </c>
      <c r="M20" s="18">
        <v>2032.67</v>
      </c>
      <c r="O20" s="15" t="s">
        <v>39</v>
      </c>
      <c r="P20" s="18">
        <v>16.686046511627911</v>
      </c>
      <c r="R20" s="15" t="s">
        <v>33</v>
      </c>
      <c r="S20" s="18">
        <v>12.752000000000001</v>
      </c>
      <c r="U20" s="15" t="s">
        <v>39</v>
      </c>
      <c r="V20" s="18">
        <v>13.47674418604651</v>
      </c>
      <c r="X20" s="13" t="s">
        <v>26</v>
      </c>
      <c r="Y20" s="19">
        <v>1747</v>
      </c>
    </row>
    <row r="21" spans="1:25" x14ac:dyDescent="0.3">
      <c r="A21" s="15" t="s">
        <v>30</v>
      </c>
      <c r="B21" s="15">
        <v>1194</v>
      </c>
      <c r="C21" s="16">
        <v>0.11230248306997742</v>
      </c>
      <c r="I21" s="15" t="s">
        <v>52</v>
      </c>
      <c r="J21" s="15">
        <v>2099</v>
      </c>
      <c r="L21" s="15" t="s">
        <v>52</v>
      </c>
      <c r="M21" s="18">
        <v>1764.65</v>
      </c>
      <c r="R21" s="15" t="s">
        <v>39</v>
      </c>
      <c r="S21" s="18">
        <v>14.051162790697681</v>
      </c>
      <c r="X21" s="13" t="s">
        <v>30</v>
      </c>
      <c r="Y21" s="19">
        <v>1194</v>
      </c>
    </row>
    <row r="22" spans="1:25" x14ac:dyDescent="0.3">
      <c r="A22" s="15" t="s">
        <v>18</v>
      </c>
      <c r="B22" s="15">
        <v>1905</v>
      </c>
      <c r="C22" s="16">
        <v>0.17917607223476298</v>
      </c>
      <c r="I22" s="15" t="s">
        <v>53</v>
      </c>
      <c r="J22" s="15">
        <v>1171</v>
      </c>
      <c r="L22" s="15" t="s">
        <v>53</v>
      </c>
      <c r="M22" s="18">
        <v>1208.3</v>
      </c>
      <c r="X22" s="13" t="s">
        <v>18</v>
      </c>
      <c r="Y22" s="19">
        <v>1905</v>
      </c>
    </row>
    <row r="23" spans="1:25" x14ac:dyDescent="0.3">
      <c r="A23" s="15" t="s">
        <v>39</v>
      </c>
      <c r="B23" s="15">
        <v>10632</v>
      </c>
      <c r="C23" s="16">
        <v>1</v>
      </c>
      <c r="I23" s="15" t="s">
        <v>39</v>
      </c>
      <c r="J23" s="15">
        <v>10632</v>
      </c>
      <c r="L23" s="15" t="s">
        <v>39</v>
      </c>
      <c r="M23" s="18">
        <v>10353.109999999999</v>
      </c>
      <c r="X23" s="13" t="s">
        <v>39</v>
      </c>
      <c r="Y23" s="19">
        <v>10632</v>
      </c>
    </row>
    <row r="25" spans="1:25" x14ac:dyDescent="0.3">
      <c r="A25" s="14" t="s">
        <v>38</v>
      </c>
      <c r="B25" s="15" t="s">
        <v>42</v>
      </c>
    </row>
    <row r="26" spans="1:25" x14ac:dyDescent="0.3">
      <c r="A26" s="15" t="s">
        <v>28</v>
      </c>
      <c r="B26" s="15">
        <v>51.76</v>
      </c>
    </row>
    <row r="27" spans="1:25" x14ac:dyDescent="0.3">
      <c r="A27" s="15" t="s">
        <v>24</v>
      </c>
      <c r="B27" s="15">
        <v>41.03125</v>
      </c>
    </row>
    <row r="28" spans="1:25" x14ac:dyDescent="0.3">
      <c r="A28" s="15" t="s">
        <v>32</v>
      </c>
      <c r="B28" s="15">
        <v>33.159999999999997</v>
      </c>
    </row>
    <row r="29" spans="1:25" x14ac:dyDescent="0.3">
      <c r="A29" s="15" t="s">
        <v>26</v>
      </c>
      <c r="B29" s="15">
        <v>74.838709677419359</v>
      </c>
    </row>
    <row r="30" spans="1:25" x14ac:dyDescent="0.3">
      <c r="A30" s="15" t="s">
        <v>30</v>
      </c>
      <c r="B30" s="15">
        <v>32.428571428571431</v>
      </c>
    </row>
    <row r="31" spans="1:25" x14ac:dyDescent="0.3">
      <c r="A31" s="15" t="s">
        <v>18</v>
      </c>
      <c r="B31" s="15">
        <v>73.41935483870968</v>
      </c>
    </row>
    <row r="32" spans="1:25" x14ac:dyDescent="0.3">
      <c r="A32" s="15" t="s">
        <v>39</v>
      </c>
      <c r="B32" s="15">
        <v>51.97674418604651</v>
      </c>
    </row>
    <row r="34" spans="1:2" x14ac:dyDescent="0.3">
      <c r="A34" s="14" t="s">
        <v>38</v>
      </c>
      <c r="B34" s="15" t="s">
        <v>43</v>
      </c>
    </row>
    <row r="35" spans="1:2" x14ac:dyDescent="0.3">
      <c r="A35" s="15" t="s">
        <v>28</v>
      </c>
      <c r="B35" s="15">
        <v>3.24</v>
      </c>
    </row>
    <row r="36" spans="1:2" x14ac:dyDescent="0.3">
      <c r="A36" s="15" t="s">
        <v>24</v>
      </c>
      <c r="B36" s="15">
        <v>2.9125000000000005</v>
      </c>
    </row>
    <row r="37" spans="1:2" x14ac:dyDescent="0.3">
      <c r="A37" s="15" t="s">
        <v>32</v>
      </c>
      <c r="B37" s="15">
        <v>3.952</v>
      </c>
    </row>
    <row r="38" spans="1:2" x14ac:dyDescent="0.3">
      <c r="A38" s="15" t="s">
        <v>26</v>
      </c>
      <c r="B38" s="15">
        <v>3.1516129032258067</v>
      </c>
    </row>
    <row r="39" spans="1:2" x14ac:dyDescent="0.3">
      <c r="A39" s="15" t="s">
        <v>30</v>
      </c>
      <c r="B39" s="15">
        <v>3.7357142857142867</v>
      </c>
    </row>
    <row r="40" spans="1:2" x14ac:dyDescent="0.3">
      <c r="A40" s="15" t="s">
        <v>18</v>
      </c>
      <c r="B40" s="15">
        <v>3.9903225806451612</v>
      </c>
    </row>
    <row r="41" spans="1:2" x14ac:dyDescent="0.3">
      <c r="A41" s="15" t="s">
        <v>39</v>
      </c>
      <c r="B41" s="15">
        <v>3.4825581395348806</v>
      </c>
    </row>
    <row r="43" spans="1:2" x14ac:dyDescent="0.3">
      <c r="A43" s="14" t="s">
        <v>38</v>
      </c>
      <c r="B43" s="15" t="s">
        <v>44</v>
      </c>
    </row>
    <row r="44" spans="1:2" x14ac:dyDescent="0.3">
      <c r="A44" s="15" t="s">
        <v>28</v>
      </c>
      <c r="B44" s="15">
        <v>1028</v>
      </c>
    </row>
    <row r="45" spans="1:2" x14ac:dyDescent="0.3">
      <c r="A45" s="15" t="s">
        <v>24</v>
      </c>
      <c r="B45" s="15">
        <v>1222</v>
      </c>
    </row>
    <row r="46" spans="1:2" x14ac:dyDescent="0.3">
      <c r="A46" s="15" t="s">
        <v>32</v>
      </c>
      <c r="B46" s="15">
        <v>1995</v>
      </c>
    </row>
    <row r="47" spans="1:2" x14ac:dyDescent="0.3">
      <c r="A47" s="15" t="s">
        <v>26</v>
      </c>
      <c r="B47" s="15">
        <v>1195</v>
      </c>
    </row>
    <row r="48" spans="1:2" x14ac:dyDescent="0.3">
      <c r="A48" s="15" t="s">
        <v>30</v>
      </c>
      <c r="B48" s="15">
        <v>2020</v>
      </c>
    </row>
    <row r="49" spans="1:2" x14ac:dyDescent="0.3">
      <c r="A49" s="15" t="s">
        <v>18</v>
      </c>
      <c r="B49" s="15">
        <v>1891</v>
      </c>
    </row>
    <row r="50" spans="1:2" x14ac:dyDescent="0.3">
      <c r="A50" s="15" t="s">
        <v>39</v>
      </c>
      <c r="B50" s="15">
        <v>9351</v>
      </c>
    </row>
    <row r="52" spans="1:2" x14ac:dyDescent="0.3">
      <c r="A52" s="14" t="s">
        <v>38</v>
      </c>
      <c r="B52" s="15" t="s">
        <v>45</v>
      </c>
    </row>
    <row r="53" spans="1:2" x14ac:dyDescent="0.3">
      <c r="A53" s="15" t="s">
        <v>28</v>
      </c>
      <c r="B53" s="15">
        <v>267.69999999999993</v>
      </c>
    </row>
    <row r="54" spans="1:2" x14ac:dyDescent="0.3">
      <c r="A54" s="15" t="s">
        <v>24</v>
      </c>
      <c r="B54" s="15">
        <v>546</v>
      </c>
    </row>
    <row r="55" spans="1:2" x14ac:dyDescent="0.3">
      <c r="A55" s="15" t="s">
        <v>32</v>
      </c>
      <c r="B55" s="15">
        <v>370.2</v>
      </c>
    </row>
    <row r="56" spans="1:2" x14ac:dyDescent="0.3">
      <c r="A56" s="15" t="s">
        <v>26</v>
      </c>
      <c r="B56" s="15">
        <v>172.1</v>
      </c>
    </row>
    <row r="57" spans="1:2" x14ac:dyDescent="0.3">
      <c r="A57" s="15" t="s">
        <v>30</v>
      </c>
      <c r="B57" s="15">
        <v>388.2</v>
      </c>
    </row>
    <row r="58" spans="1:2" x14ac:dyDescent="0.3">
      <c r="A58" s="15" t="s">
        <v>18</v>
      </c>
      <c r="B58" s="15">
        <v>482.8</v>
      </c>
    </row>
    <row r="59" spans="1:2" x14ac:dyDescent="0.3">
      <c r="A59" s="15" t="s">
        <v>39</v>
      </c>
      <c r="B59" s="15">
        <v>2227</v>
      </c>
    </row>
  </sheetData>
  <pageMargins left="0.7" right="0.7" top="0.75" bottom="0.75" header="0.3" footer="0.3"/>
  <tableParts count="1">
    <tablePart r:id="rId1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4D28F-6CAC-40EB-A9F7-B0E1E411CE48}">
  <sheetPr codeName="Sheet5">
    <tabColor theme="8" tint="0.39997558519241921"/>
  </sheetPr>
  <dimension ref="I32"/>
  <sheetViews>
    <sheetView showGridLines="0" tabSelected="1" zoomScaleNormal="100" workbookViewId="0">
      <selection activeCell="X11" sqref="X11"/>
    </sheetView>
  </sheetViews>
  <sheetFormatPr defaultRowHeight="14.4" x14ac:dyDescent="0.3"/>
  <sheetData>
    <row r="32" spans="9:9" x14ac:dyDescent="0.3">
      <c r="I32" t="s">
        <v>46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Dataset</vt:lpstr>
      <vt:lpstr>Detail1</vt:lpstr>
      <vt:lpstr>Detail2</vt:lpstr>
      <vt:lpstr>Pivort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SHIBAM DEY</cp:lastModifiedBy>
  <dcterms:created xsi:type="dcterms:W3CDTF">2025-06-13T02:44:26Z</dcterms:created>
  <dcterms:modified xsi:type="dcterms:W3CDTF">2026-03-16T09:25:51Z</dcterms:modified>
</cp:coreProperties>
</file>